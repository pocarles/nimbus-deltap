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Model" sheetId="2" state="visible" r:id="rId4"/>
    <sheet name="Sensitivity" sheetId="3" state="visible" r:id="rId5"/>
    <sheet name="Use of Funds" sheetId="4" state="visible" r:id="rId6"/>
    <sheet name="Market &amp; TAM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<sst xmlns="http://schemas.openxmlformats.org/spreadsheetml/2006/main" count="291" uniqueCount="280">
  <si>
    <t xml:space="preserve">∆P (Delta P) — Financial Model (Conservative)</t>
  </si>
  <si>
    <t xml:space="preserve">All assumptions deliberately pessimistic. Designed to underpromise.</t>
  </si>
  <si>
    <t xml:space="preserve">Source: PFF Quote OFR000388 (Dec 2025) | EUR/USD 1.22 (pessimistic)</t>
  </si>
  <si>
    <t xml:space="preserve">COMPONENT COSTS (Ex-Works France, 30% volume discount)</t>
  </si>
  <si>
    <t xml:space="preserve">Component</t>
  </si>
  <si>
    <t xml:space="preserve">Reference</t>
  </si>
  <si>
    <t xml:space="preserve">List (EUR)</t>
  </si>
  <si>
    <t xml:space="preserve">Discount</t>
  </si>
  <si>
    <t xml:space="preserve">Net (EUR)</t>
  </si>
  <si>
    <t xml:space="preserve">Source</t>
  </si>
  <si>
    <t xml:space="preserve">Head V2 (Tête de Capsule V2)</t>
  </si>
  <si>
    <t xml:space="preserve">BV-TCAPSV2</t>
  </si>
  <si>
    <t xml:space="preserve">PFF OFR000388 (Dec 2025)</t>
  </si>
  <si>
    <t xml:space="preserve">Cartridge 0.450L Alu</t>
  </si>
  <si>
    <t xml:space="preserve">BI-BOE-CART8</t>
  </si>
  <si>
    <t xml:space="preserve">PFF OFR000388</t>
  </si>
  <si>
    <t xml:space="preserve">Gauge (Analog 50B)</t>
  </si>
  <si>
    <t xml:space="preserve">BV-ADSUSP-40B</t>
  </si>
  <si>
    <t xml:space="preserve">Ramp (Chargement Azote)</t>
  </si>
  <si>
    <t xml:space="preserve">BV-RPAZOTE160B</t>
  </si>
  <si>
    <t xml:space="preserve">TOTAL COMPONENTS</t>
  </si>
  <si>
    <t xml:space="preserve">EXCHANGE RATE &amp; TARIFFS</t>
  </si>
  <si>
    <t xml:space="preserve">EUR/USD exchange rate</t>
  </si>
  <si>
    <t xml:space="preserve">Pessimistic (actual ~1.18, was 1.20)</t>
  </si>
  <si>
    <t xml:space="preserve">Tariff — Aluminum parts (Head, Cart.)</t>
  </si>
  <si>
    <t xml:space="preserve">Tariff — Standard parts (Gauge, Ramp)</t>
  </si>
  <si>
    <t xml:space="preserve">LANDED COSTS (USD)</t>
  </si>
  <si>
    <t xml:space="preserve">EUR Net</t>
  </si>
  <si>
    <t xml:space="preserve">USD Ex-Works</t>
  </si>
  <si>
    <t xml:space="preserve">Tariff Rate</t>
  </si>
  <si>
    <t xml:space="preserve">Landed USD</t>
  </si>
  <si>
    <t xml:space="preserve">Head V2</t>
  </si>
  <si>
    <t xml:space="preserve">Cartridge</t>
  </si>
  <si>
    <t xml:space="preserve">Gauge</t>
  </si>
  <si>
    <t xml:space="preserve">Ramp</t>
  </si>
  <si>
    <t xml:space="preserve">SHIPPING (France → Florida)</t>
  </si>
  <si>
    <t xml:space="preserve">Consumer kit shipping (per unit)</t>
  </si>
  <si>
    <t xml:space="preserve">Conservative (was $30)</t>
  </si>
  <si>
    <t xml:space="preserve">Starter kit shipping (per unit)</t>
  </si>
  <si>
    <t xml:space="preserve">Conservative (was $50)</t>
  </si>
  <si>
    <t xml:space="preserve">KIT COGS (Landed Florida)</t>
  </si>
  <si>
    <t xml:space="preserve">Consumer Kit COGS (Head + Cart. + ship)</t>
  </si>
  <si>
    <t xml:space="preserve">Starter Kit COGS (All 4 + ship)</t>
  </si>
  <si>
    <t xml:space="preserve">PRICING</t>
  </si>
  <si>
    <t xml:space="preserve">Consumer Kit retail</t>
  </si>
  <si>
    <t xml:space="preserve">Starter Kit (regular)</t>
  </si>
  <si>
    <t xml:space="preserve">Starter Kit (pre-launch, first 25 partners)</t>
  </si>
  <si>
    <t xml:space="preserve">Pre-launch partners (count)</t>
  </si>
  <si>
    <t xml:space="preserve">Conservative (was 20)</t>
  </si>
  <si>
    <t xml:space="preserve">PARTNER COMMISSIONS</t>
  </si>
  <si>
    <t xml:space="preserve">Tier</t>
  </si>
  <si>
    <t xml:space="preserve">Units/Qtr</t>
  </si>
  <si>
    <t xml:space="preserve">Comm %</t>
  </si>
  <si>
    <t xml:space="preserve">Wholesale</t>
  </si>
  <si>
    <t xml:space="preserve">Nimbus Gross/Unit</t>
  </si>
  <si>
    <t xml:space="preserve">Tier 1</t>
  </si>
  <si>
    <t xml:space="preserve">1-10</t>
  </si>
  <si>
    <t xml:space="preserve">Tier 2</t>
  </si>
  <si>
    <t xml:space="preserve">11-30</t>
  </si>
  <si>
    <t xml:space="preserve">Tier 3</t>
  </si>
  <si>
    <t xml:space="preserve">31+</t>
  </si>
  <si>
    <t xml:space="preserve">REFILL ECONOMICS</t>
  </si>
  <si>
    <t xml:space="preserve">Nimbus fee per refill</t>
  </si>
  <si>
    <t xml:space="preserve">Capture rate (% reported)</t>
  </si>
  <si>
    <t xml:space="preserve">Conservative — assumes 40% cheating</t>
  </si>
  <si>
    <t xml:space="preserve">Effective fee per refill</t>
  </si>
  <si>
    <t xml:space="preserve">REFILL FREQUENCY (tied to installed cartridge base)</t>
  </si>
  <si>
    <t xml:space="preserve">Each Consumer Kit sold = 1 cartridge in the field</t>
  </si>
  <si>
    <t xml:space="preserve">Usage Segment</t>
  </si>
  <si>
    <t xml:space="preserve">% of Customers</t>
  </si>
  <si>
    <t xml:space="preserve">Refills / Cartridge / Month</t>
  </si>
  <si>
    <t xml:space="preserve">Heavy (racing, commercial aviation)</t>
  </si>
  <si>
    <t xml:space="preserve">Weekly+ users</t>
  </si>
  <si>
    <t xml:space="preserve">Moderate (active off-road, regular riders)</t>
  </si>
  <si>
    <t xml:space="preserve">Every ~3 months</t>
  </si>
  <si>
    <t xml:space="preserve">Light / seasonal (casual, street)</t>
  </si>
  <si>
    <t xml:space="preserve">About once a year</t>
  </si>
  <si>
    <t xml:space="preserve">Check: total %</t>
  </si>
  <si>
    <t xml:space="preserve">BLENDED REFILL RATE (per cartridge/month)</t>
  </si>
  <si>
    <t xml:space="preserve">Avg ~1 refill every 4 months per cartridge</t>
  </si>
  <si>
    <t xml:space="preserve">Months after sale before first refill</t>
  </si>
  <si>
    <t xml:space="preserve">Customer needs time to use &amp; deplete nitrogen</t>
  </si>
  <si>
    <t xml:space="preserve">Effective reported refills/cart./month</t>
  </si>
  <si>
    <t xml:space="preserve">After 40% cheating — very conservative</t>
  </si>
  <si>
    <t xml:space="preserve">PARTNER HARDWARE RAMP (Conservative)</t>
  </si>
  <si>
    <t xml:space="preserve">Hardware sales delay (months after signup)</t>
  </si>
  <si>
    <t xml:space="preserve">France ship + customs + partner setup</t>
  </si>
  <si>
    <t xml:space="preserve">Total delay: signup → first refill revenue</t>
  </si>
  <si>
    <t xml:space="preserve">Hardware delay + refill lag = structural gap</t>
  </si>
  <si>
    <t xml:space="preserve">Selling Months Active</t>
  </si>
  <si>
    <t xml:space="preserve">Consumer Kits / Month / Partner</t>
  </si>
  <si>
    <t xml:space="preserve">vs. Previous Model</t>
  </si>
  <si>
    <t xml:space="preserve">1-2 months</t>
  </si>
  <si>
    <t xml:space="preserve">Was 2 (optimistic)</t>
  </si>
  <si>
    <t xml:space="preserve">3-5 months</t>
  </si>
  <si>
    <t xml:space="preserve">Was 3</t>
  </si>
  <si>
    <t xml:space="preserve">6-9 months</t>
  </si>
  <si>
    <t xml:space="preserve">Was 4</t>
  </si>
  <si>
    <t xml:space="preserve">10+ months (mature, capped)</t>
  </si>
  <si>
    <t xml:space="preserve">Was 5 — capped at 3</t>
  </si>
  <si>
    <t xml:space="preserve">GROWTH ASSUMPTIONS</t>
  </si>
  <si>
    <t xml:space="preserve">New partners per month</t>
  </si>
  <si>
    <t xml:space="preserve">Was 12. Quality-first = slower funnel.</t>
  </si>
  <si>
    <t xml:space="preserve">Partner churn rate</t>
  </si>
  <si>
    <t xml:space="preserve">MONTHLY OPERATING EXPENSES</t>
  </si>
  <si>
    <t xml:space="preserve">Expense</t>
  </si>
  <si>
    <t xml:space="preserve">Mo 1-6</t>
  </si>
  <si>
    <t xml:space="preserve">Mo 7-12</t>
  </si>
  <si>
    <t xml:space="preserve">Mo 13-18</t>
  </si>
  <si>
    <t xml:space="preserve">Partner recruiter (salary + benefits)</t>
  </si>
  <si>
    <t xml:space="preserve">Warehouse / storage</t>
  </si>
  <si>
    <t xml:space="preserve">Fulfillment labor (part-time)</t>
  </si>
  <si>
    <t xml:space="preserve">Insurance (GL + product)</t>
  </si>
  <si>
    <t xml:space="preserve">Software (Stripe, CRM, hosting)</t>
  </si>
  <si>
    <t xml:space="preserve">Legal / accounting</t>
  </si>
  <si>
    <t xml:space="preserve">Travel (partner visits, shows)</t>
  </si>
  <si>
    <t xml:space="preserve">Meta ads + marketing</t>
  </si>
  <si>
    <t xml:space="preserve">Miscellaneous / contingency</t>
  </si>
  <si>
    <t xml:space="preserve">TOTAL MONTHLY OPEX</t>
  </si>
  <si>
    <t xml:space="preserve">KEY UNIT ECONOMICS</t>
  </si>
  <si>
    <t xml:space="preserve">Consumer Kit Gross Margin (before comm.)</t>
  </si>
  <si>
    <t xml:space="preserve">Starter Kit Margin (at $1,499)</t>
  </si>
  <si>
    <t xml:space="preserve">Starter Kit Margin (at $999 pre-launch)</t>
  </si>
  <si>
    <t xml:space="preserve">Nimbus Gross/Unit — Tier 1</t>
  </si>
  <si>
    <t xml:space="preserve">Nimbus Gross/Unit — Tier 2</t>
  </si>
  <si>
    <t xml:space="preserve">Blended refill rate / cartridge / month</t>
  </si>
  <si>
    <t xml:space="preserve">Effective reported rate (after cheating)</t>
  </si>
  <si>
    <t xml:space="preserve">Revenue per cartridge per month (reported)</t>
  </si>
  <si>
    <t xml:space="preserve">∆P — 18-Month Revenue Model (Conservative Base)</t>
  </si>
  <si>
    <t xml:space="preserve">Refills driven by installed cartridge base, not arbitrary ramp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</si>
  <si>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</si>
  <si>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</si>
  <si>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</si>
  <si>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</si>
  <si>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</si>
  <si>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</si>
  <si>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</si>
  <si>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</si>
  <si>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</si>
  <si>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</si>
  <si>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</si>
  <si>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</si>
  <si>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</si>
  <si>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</si>
  <si>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</si>
  <si>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</si>
  <si>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</si>
  <si>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</si>
  <si>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18-Mo Total</t>
  </si>
  <si>
    <t xml:space="preserve">PARTNER GROWTH</t>
  </si>
  <si>
    <t xml:space="preserve">New Partners</t>
  </si>
  <si>
    <t xml:space="preserve">Cumulative Partners</t>
  </si>
  <si>
    <t xml:space="preserve">HARDWARE UNITS (3-month delay from signup)</t>
  </si>
  <si>
    <t xml:space="preserve">Units — selling 1-2 months</t>
  </si>
  <si>
    <t xml:space="preserve">Units — selling 3-5 months</t>
  </si>
  <si>
    <t xml:space="preserve">Units — selling 6-9 months</t>
  </si>
  <si>
    <t xml:space="preserve">Units — selling 10+ months</t>
  </si>
  <si>
    <t xml:space="preserve">TOTAL HARDWARE UNITS (this month)</t>
  </si>
  <si>
    <t xml:space="preserve">Cumulative Cartridges in Field</t>
  </si>
  <si>
    <t xml:space="preserve">REFILLS (driven by installed cartridge base)</t>
  </si>
  <si>
    <t xml:space="preserve">Cartridges eligible for refill (after lag)</t>
  </si>
  <si>
    <t xml:space="preserve">Theoretical monthly refills</t>
  </si>
  <si>
    <t xml:space="preserve">Reported refills (after cheating)</t>
  </si>
  <si>
    <t xml:space="preserve">  Check: reported refills / eligible cartridges</t>
  </si>
  <si>
    <t xml:space="preserve">REVENUE</t>
  </si>
  <si>
    <t xml:space="preserve">Stream 1: Starter Kit Revenue</t>
  </si>
  <si>
    <t xml:space="preserve">  Hardware — Tier 1 units (stages 1-5)</t>
  </si>
  <si>
    <t xml:space="preserve">  Hardware — Tier 2 units (stages 6+)</t>
  </si>
  <si>
    <t xml:space="preserve">Stream 2: Total Hardware Revenue</t>
  </si>
  <si>
    <t xml:space="preserve">Stream 3: Refill Revenue</t>
  </si>
  <si>
    <t xml:space="preserve">TOTAL REVENUE</t>
  </si>
  <si>
    <t xml:space="preserve">COST OF GOODS SOLD</t>
  </si>
  <si>
    <t xml:space="preserve">Starter Kit COGS</t>
  </si>
  <si>
    <t xml:space="preserve">Hardware COGS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</si>
  <si>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</si>
  <si>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</si>
  <si>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</si>
  <si>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</si>
  <si>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Monthly OpEx</t>
  </si>
  <si>
    <t xml:space="preserve">NET INCOME (LOSS)</t>
  </si>
  <si>
    <t xml:space="preserve">Net Margin %</t>
  </si>
  <si>
    <t xml:space="preserve">CUMULATIVE NET POSITION</t>
  </si>
  <si>
    <t xml:space="preserve">Cumulative P&amp;L</t>
  </si>
  <si>
    <t xml:space="preserve">MONTH 18 ANNUALIZED RUN RATE</t>
  </si>
  <si>
    <t xml:space="preserve">Revenue Run Rate</t>
  </si>
  <si>
    <t xml:space="preserve">Gross Profit Run Rate</t>
  </si>
  <si>
    <t xml:space="preserve">Net Income Run Rate</t>
  </si>
  <si>
    <t xml:space="preserve">Refill ARR</t>
  </si>
  <si>
    <t xml:space="preserve">Active Partners</t>
  </si>
  <si>
    <t xml:space="preserve">Cartridges in Field</t>
  </si>
  <si>
    <t xml:space="preserve">∆P — Sensitivity Analysis</t>
  </si>
  <si>
    <t xml:space="preserve">Worst Case → Conservative Base (our plan) → Upside</t>
  </si>
  <si>
    <t xml:space="preserve">Worst Case</t>
  </si>
  <si>
    <t xml:space="preserve">Conservative Base</t>
  </si>
  <si>
    <t xml:space="preserve">Upside</t>
  </si>
  <si>
    <t xml:space="preserve">SCENARIO ASSUMPTIONS</t>
  </si>
  <si>
    <t xml:space="preserve">Partners / month</t>
  </si>
  <si>
    <t xml:space="preserve">Hardware delay (months)</t>
  </si>
  <si>
    <t xml:space="preserve">Refill lag after sale (months)</t>
  </si>
  <si>
    <t xml:space="preserve">Unit ramp (selling mo 1-2/3-5/6-9/10+)</t>
  </si>
  <si>
    <t xml:space="preserve">1/1/2/2</t>
  </si>
  <si>
    <t xml:space="preserve">1/2/3/3</t>
  </si>
  <si>
    <t xml:space="preserve">2/3/4/5</t>
  </si>
  <si>
    <t xml:space="preserve">Capture rate</t>
  </si>
  <si>
    <t xml:space="preserve">Monthly OpEx (avg)</t>
  </si>
  <si>
    <t xml:space="preserve">18-MONTH RESULTS</t>
  </si>
  <si>
    <t xml:space="preserve">Total Partners</t>
  </si>
  <si>
    <t xml:space="preserve">Total Hardware Units Sold</t>
  </si>
  <si>
    <t xml:space="preserve">Cartridges in Field (month 18)</t>
  </si>
  <si>
    <t xml:space="preserve">Eligible for Refill (month 18)</t>
  </si>
  <si>
    <t xml:space="preserve">Total Reported Refills (18 mo)</t>
  </si>
  <si>
    <t xml:space="preserve">Monthly Refills at Month 18</t>
  </si>
  <si>
    <t xml:space="preserve">Starter Kit Revenue</t>
  </si>
  <si>
    <t xml:space="preserve">Hardware Revenue</t>
  </si>
  <si>
    <t xml:space="preserve">Refill Revenue</t>
  </si>
  <si>
    <t xml:space="preserve">Total COGS</t>
  </si>
  <si>
    <t xml:space="preserve">Total OpEx (18 months)</t>
  </si>
  <si>
    <t xml:space="preserve">Month 18 Revenue (annualized)</t>
  </si>
  <si>
    <t xml:space="preserve">Month 18 Net Income (annualized)</t>
  </si>
  <si>
    <t xml:space="preserve">Break-even Month</t>
  </si>
  <si>
    <t xml:space="preserve">∆P — Use of Funds ($250K Seed Round)</t>
  </si>
  <si>
    <t xml:space="preserve">ALLOCATION</t>
  </si>
  <si>
    <t xml:space="preserve">Category</t>
  </si>
  <si>
    <t xml:space="preserve">Amount</t>
  </si>
  <si>
    <t xml:space="preserve">% of Total</t>
  </si>
  <si>
    <t xml:space="preserve">Purpose</t>
  </si>
  <si>
    <t xml:space="preserve">Initial Inventory (40 starter + 80 consumer kits)</t>
  </si>
  <si>
    <t xml:space="preserve">First PFF batch — conservative order size</t>
  </si>
  <si>
    <t xml:space="preserve">Operating Expenses (6 months runway)</t>
  </si>
  <si>
    <t xml:space="preserve">Recruiter, warehouse, insurance, software, legal at conservative OpEx</t>
  </si>
  <si>
    <t xml:space="preserve">Marketing &amp; Partner Acquisition</t>
  </si>
  <si>
    <t xml:space="preserve">Meta ads, trade shows — conservative spend</t>
  </si>
  <si>
    <t xml:space="preserve">Warehouse Setup &amp; Equipment</t>
  </si>
  <si>
    <t xml:space="preserve">FL storage, shelving, nitrogen fill station</t>
  </si>
  <si>
    <t xml:space="preserve">Working Capital / Reorder Buffer</t>
  </si>
  <si>
    <t xml:space="preserve">Second inventory order + buffer for slow collections</t>
  </si>
  <si>
    <t xml:space="preserve">Legal &amp; Compliance</t>
  </si>
  <si>
    <t xml:space="preserve">Partner agreements, product liability, customs broker</t>
  </si>
  <si>
    <t xml:space="preserve">Contingency Reserve (7.5%)</t>
  </si>
  <si>
    <t xml:space="preserve">FX swings, tariff changes, unexpected costs, slower ramp</t>
  </si>
  <si>
    <t xml:space="preserve">TOTAL RAISE</t>
  </si>
  <si>
    <t xml:space="preserve">RUNWAY ANALYSIS</t>
  </si>
  <si>
    <t xml:space="preserve">Monthly burn (months 1-6, no revenue offset)</t>
  </si>
  <si>
    <t xml:space="preserve">Pure runway at burn (months)</t>
  </si>
  <si>
    <t xml:space="preserve">Break-even month (conservative base)</t>
  </si>
  <si>
    <t xml:space="preserve">∆P — Total Addressable Market</t>
  </si>
  <si>
    <t xml:space="preserve">US MARKET SEGMENTS</t>
  </si>
  <si>
    <t xml:space="preserve">Segment</t>
  </si>
  <si>
    <t xml:space="preserve">Estimated Count</t>
  </si>
  <si>
    <t xml:space="preserve">Aircraft mechanics &amp; technicians</t>
  </si>
  <si>
    <t xml:space="preserve">BLS (2024)</t>
  </si>
  <si>
    <t xml:space="preserve">FAA certified repair stations</t>
  </si>
  <si>
    <t xml:space="preserve">FAA</t>
  </si>
  <si>
    <t xml:space="preserve">Fixed Base Operators (FBOs)</t>
  </si>
  <si>
    <t xml:space="preserve">GlobalAir</t>
  </si>
  <si>
    <t xml:space="preserve">Auto repair &amp; maintenance</t>
  </si>
  <si>
    <t xml:space="preserve">BLS / Statista</t>
  </si>
  <si>
    <t xml:space="preserve">Auto body shops</t>
  </si>
  <si>
    <t xml:space="preserve">Multiple sources</t>
  </si>
  <si>
    <t xml:space="preserve">Motorcycle / powersports</t>
  </si>
  <si>
    <t xml:space="preserve">IBISWorld (2025)</t>
  </si>
  <si>
    <t xml:space="preserve">Golf cart dealers</t>
  </si>
  <si>
    <t xml:space="preserve">IBISWorld</t>
  </si>
  <si>
    <t xml:space="preserve">RV repair</t>
  </si>
  <si>
    <t xml:space="preserve">Directory (2025)</t>
  </si>
  <si>
    <t xml:space="preserve">Bicycle / e-bike shops</t>
  </si>
  <si>
    <t xml:space="preserve">NBDA / Zippia</t>
  </si>
  <si>
    <t xml:space="preserve">Off-road / 4x4 shops</t>
  </si>
  <si>
    <t xml:space="preserve">Estimated</t>
  </si>
  <si>
    <t xml:space="preserve">Total Broad TAM</t>
  </si>
  <si>
    <t xml:space="preserve">Realistic Addressable</t>
  </si>
  <si>
    <t xml:space="preserve">PENETRATION (Conservative Base: 8/mo)</t>
  </si>
  <si>
    <t xml:space="preserve">Year 1 partners</t>
  </si>
  <si>
    <t xml:space="preserve">% of addressable</t>
  </si>
  <si>
    <t xml:space="preserve">18-month partners</t>
  </si>
  <si>
    <t xml:space="preserve">COMPETITIVE LANDSCAPE</t>
  </si>
  <si>
    <t xml:space="preserve">Key finding:</t>
  </si>
  <si>
    <t xml:space="preserve">No national mobile nitrogen service network exists</t>
  </si>
  <si>
    <t xml:space="preserve">Moat:</t>
  </si>
  <si>
    <t xml:space="preserve">Hazmat shipping = natural local monopoly for partners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</si>
</sst>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€#,##0.00"/>
    <numFmt numFmtId="166" formatCode="0.0%"/>
    <numFmt numFmtId="167" formatCode="0.00"/>
    <numFmt numFmtId="168" formatCode="\$#,##0.00"/>
    <numFmt numFmtId="169" formatCode="\$#,##0"/>
    <numFmt numFmtId="170" formatCode="#,##0"/>
    <numFmt numFmtId="171" formatCode="#,##0.0"/>
    <numFmt numFmtId="172" formatCode="\$#,##0;&quot;($&quot;#,##0\);\-"/>
    <numFmt numFmtId="173" formatCode="0.0%;\(0.0%\);\-"/>
    <numFmt numFmtId="174" formatCode="0.0"/>
    <numFmt numFmtId="175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A"/>
      <name val="Arial"/>
      <family val="0"/>
      <charset val="1"/>
    </font>
    <font>
      <i val="true"/>
      <sz val="9"/>
      <color rgb="FFCC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5F5F5"/>
        <bgColor rgb="FFE8F8E8"/>
      </patternFill>
    </fill>
    <fill>
      <patternFill patternType="solid">
        <fgColor rgb="FF2C3E50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FFB5886A"/>
        <bgColor rgb="FF888888"/>
      </patternFill>
    </fill>
    <fill>
      <patternFill patternType="solid">
        <fgColor rgb="FFE8F8E8"/>
        <bgColor rgb="FFF5F5F5"/>
      </patternFill>
    </fill>
    <fill>
      <patternFill patternType="solid">
        <fgColor rgb="FFE8E8E8"/>
        <bgColor rgb="FFE8F8E8"/>
      </patternFill>
    </fill>
    <fill>
      <patternFill patternType="solid">
        <fgColor rgb="FFB71C1C"/>
        <bgColor rgb="FFCC0000"/>
      </patternFill>
    </fill>
    <fill>
      <patternFill patternType="solid">
        <fgColor rgb="FFE65100"/>
        <bgColor rgb="FFE74C3C"/>
      </patternFill>
    </fill>
    <fill>
      <patternFill patternType="solid">
        <fgColor rgb="FF2E7D32"/>
        <bgColor rgb="FF0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33333"/>
      </bottom>
      <diagonal/>
    </border>
    <border diagonalUp="false" diagonalDown="false">
      <left/>
      <right/>
      <top style="medium">
        <color rgb="FF3333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32"/>
      <rgbColor rgb="FFC0C0C0"/>
      <rgbColor rgb="FF888888"/>
      <rgbColor rgb="FF9999FF"/>
      <rgbColor rgb="FF8E44AD"/>
      <rgbColor rgb="FFFFFDE7"/>
      <rgbColor rgb="FFE8F8E8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8E8E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66"/>
      <rgbColor rgb="FFB5886A"/>
      <rgbColor rgb="FF003366"/>
      <rgbColor rgb="FF27AE60"/>
      <rgbColor rgb="FF003300"/>
      <rgbColor rgb="FF1A1A1A"/>
      <rgbColor rgb="FFB71C1C"/>
      <rgbColor rgb="FF993366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F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customFormat="false" ht="15" hidden="false" customHeight="false" outlineLevel="0" collapsed="false">
      <c r="A7" s="7" t="s">
        <v>10</v>
      </c>
      <c r="B7" s="8" t="s">
        <v>11</v>
      </c>
      <c r="C7" s="9" t="n">
        <v>110</v>
      </c>
      <c r="D7" s="10" t="n">
        <v>0.3</v>
      </c>
      <c r="E7" s="11" t="n">
        <f aca="false">C7*(1-D7)</f>
        <v>77</v>
      </c>
      <c r="F7" s="3" t="s">
        <v>12</v>
      </c>
    </row>
    <row r="8" customFormat="false" ht="15" hidden="false" customHeight="false" outlineLevel="0" collapsed="false">
      <c r="A8" s="7" t="s">
        <v>13</v>
      </c>
      <c r="B8" s="8" t="s">
        <v>14</v>
      </c>
      <c r="C8" s="9" t="n">
        <v>95</v>
      </c>
      <c r="D8" s="10" t="n">
        <v>0.3</v>
      </c>
      <c r="E8" s="11" t="n">
        <f aca="false">C8*(1-D8)</f>
        <v>66.5</v>
      </c>
      <c r="F8" s="3" t="s">
        <v>15</v>
      </c>
    </row>
    <row r="9" customFormat="false" ht="15" hidden="false" customHeight="false" outlineLevel="0" collapsed="false">
      <c r="A9" s="7" t="s">
        <v>16</v>
      </c>
      <c r="B9" s="8" t="s">
        <v>17</v>
      </c>
      <c r="C9" s="9" t="n">
        <v>96.5</v>
      </c>
      <c r="D9" s="10" t="n">
        <v>0.3</v>
      </c>
      <c r="E9" s="11" t="n">
        <f aca="false">C9*(1-D9)</f>
        <v>67.55</v>
      </c>
      <c r="F9" s="3" t="s">
        <v>15</v>
      </c>
    </row>
    <row r="10" customFormat="false" ht="15" hidden="false" customHeight="false" outlineLevel="0" collapsed="false">
      <c r="A10" s="7" t="s">
        <v>18</v>
      </c>
      <c r="B10" s="8" t="s">
        <v>19</v>
      </c>
      <c r="C10" s="9" t="n">
        <v>440</v>
      </c>
      <c r="D10" s="10" t="n">
        <v>0.3</v>
      </c>
      <c r="E10" s="11" t="n">
        <f aca="false">C10*(1-D10)</f>
        <v>308</v>
      </c>
      <c r="F10" s="3" t="s">
        <v>15</v>
      </c>
    </row>
    <row r="11" customFormat="false" ht="15" hidden="false" customHeight="false" outlineLevel="0" collapsed="false">
      <c r="A11" s="12" t="s">
        <v>20</v>
      </c>
      <c r="B11" s="13"/>
      <c r="C11" s="14" t="n">
        <f aca="false">SUM(C7:C10)</f>
        <v>741.5</v>
      </c>
      <c r="D11" s="13"/>
      <c r="E11" s="14" t="n">
        <f aca="false">SUM(E7:E10)</f>
        <v>519.05</v>
      </c>
      <c r="F11" s="13"/>
    </row>
    <row r="13" customFormat="false" ht="15" hidden="false" customHeight="false" outlineLevel="0" collapsed="false">
      <c r="A13" s="4" t="s">
        <v>21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7" t="s">
        <v>22</v>
      </c>
      <c r="B14" s="15" t="n">
        <v>1.22</v>
      </c>
      <c r="C14" s="2" t="s">
        <v>23</v>
      </c>
    </row>
    <row r="15" customFormat="false" ht="15" hidden="false" customHeight="false" outlineLevel="0" collapsed="false">
      <c r="A15" s="7" t="s">
        <v>24</v>
      </c>
      <c r="B15" s="10" t="n">
        <v>0.2</v>
      </c>
    </row>
    <row r="16" customFormat="false" ht="15" hidden="false" customHeight="false" outlineLevel="0" collapsed="false">
      <c r="A16" s="7" t="s">
        <v>25</v>
      </c>
      <c r="B16" s="10" t="n">
        <v>0.15</v>
      </c>
    </row>
    <row r="18" customFormat="false" ht="15" hidden="false" customHeight="false" outlineLevel="0" collapsed="false">
      <c r="A18" s="4" t="s">
        <v>26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16" t="s">
        <v>4</v>
      </c>
      <c r="B19" s="16" t="s">
        <v>27</v>
      </c>
      <c r="C19" s="16" t="s">
        <v>28</v>
      </c>
      <c r="D19" s="16" t="s">
        <v>29</v>
      </c>
      <c r="E19" s="16" t="s">
        <v>30</v>
      </c>
    </row>
    <row r="20" customFormat="false" ht="15" hidden="false" customHeight="false" outlineLevel="0" collapsed="false">
      <c r="A20" s="7" t="s">
        <v>31</v>
      </c>
      <c r="B20" s="17" t="n">
        <f aca="false">E7</f>
        <v>77</v>
      </c>
      <c r="C20" s="18" t="n">
        <f aca="false">B20*$B$14</f>
        <v>93.94</v>
      </c>
      <c r="D20" s="19" t="n">
        <f aca="false">$B$15</f>
        <v>0.2</v>
      </c>
      <c r="E20" s="18" t="n">
        <f aca="false">C20*(1+D20)</f>
        <v>112.728</v>
      </c>
    </row>
    <row r="21" customFormat="false" ht="15" hidden="false" customHeight="false" outlineLevel="0" collapsed="false">
      <c r="A21" s="7" t="s">
        <v>32</v>
      </c>
      <c r="B21" s="17" t="n">
        <f aca="false">E8</f>
        <v>66.5</v>
      </c>
      <c r="C21" s="18" t="n">
        <f aca="false">B21*$B$14</f>
        <v>81.13</v>
      </c>
      <c r="D21" s="19" t="n">
        <f aca="false">$B$15</f>
        <v>0.2</v>
      </c>
      <c r="E21" s="18" t="n">
        <f aca="false">C21*(1+D21)</f>
        <v>97.356</v>
      </c>
    </row>
    <row r="22" customFormat="false" ht="15" hidden="false" customHeight="false" outlineLevel="0" collapsed="false">
      <c r="A22" s="7" t="s">
        <v>33</v>
      </c>
      <c r="B22" s="17" t="n">
        <f aca="false">E9</f>
        <v>67.55</v>
      </c>
      <c r="C22" s="18" t="n">
        <f aca="false">B22*$B$14</f>
        <v>82.411</v>
      </c>
      <c r="D22" s="19" t="n">
        <f aca="false">$B$16</f>
        <v>0.15</v>
      </c>
      <c r="E22" s="18" t="n">
        <f aca="false">C22*(1+D22)</f>
        <v>94.77265</v>
      </c>
    </row>
    <row r="23" customFormat="false" ht="15" hidden="false" customHeight="false" outlineLevel="0" collapsed="false">
      <c r="A23" s="7" t="s">
        <v>34</v>
      </c>
      <c r="B23" s="17" t="n">
        <f aca="false">E10</f>
        <v>308</v>
      </c>
      <c r="C23" s="18" t="n">
        <f aca="false">B23*$B$14</f>
        <v>375.76</v>
      </c>
      <c r="D23" s="19" t="n">
        <f aca="false">$B$16</f>
        <v>0.15</v>
      </c>
      <c r="E23" s="18" t="n">
        <f aca="false">C23*(1+D23)</f>
        <v>432.124</v>
      </c>
    </row>
    <row r="25" customFormat="false" ht="15" hidden="false" customHeight="false" outlineLevel="0" collapsed="false">
      <c r="A25" s="4" t="s">
        <v>35</v>
      </c>
      <c r="B25" s="5"/>
      <c r="C25" s="5"/>
      <c r="D25" s="5"/>
      <c r="E25" s="5"/>
      <c r="F25" s="5"/>
    </row>
    <row r="26" customFormat="false" ht="15" hidden="false" customHeight="false" outlineLevel="0" collapsed="false">
      <c r="A26" s="7" t="s">
        <v>36</v>
      </c>
      <c r="B26" s="20" t="n">
        <v>40</v>
      </c>
      <c r="C26" s="2" t="s">
        <v>37</v>
      </c>
    </row>
    <row r="27" customFormat="false" ht="15" hidden="false" customHeight="false" outlineLevel="0" collapsed="false">
      <c r="A27" s="7" t="s">
        <v>38</v>
      </c>
      <c r="B27" s="20" t="n">
        <v>65</v>
      </c>
      <c r="C27" s="2" t="s">
        <v>39</v>
      </c>
    </row>
    <row r="29" customFormat="false" ht="15" hidden="false" customHeight="false" outlineLevel="0" collapsed="false">
      <c r="A29" s="4" t="s">
        <v>40</v>
      </c>
      <c r="B29" s="5"/>
      <c r="C29" s="5"/>
      <c r="D29" s="5"/>
      <c r="E29" s="5"/>
      <c r="F29" s="5"/>
    </row>
    <row r="30" customFormat="false" ht="15" hidden="false" customHeight="false" outlineLevel="0" collapsed="false">
      <c r="A30" s="16" t="s">
        <v>41</v>
      </c>
      <c r="B30" s="21" t="n">
        <f aca="false">E20+E21+B26</f>
        <v>250.084</v>
      </c>
    </row>
    <row r="31" customFormat="false" ht="15" hidden="false" customHeight="false" outlineLevel="0" collapsed="false">
      <c r="A31" s="16" t="s">
        <v>42</v>
      </c>
      <c r="B31" s="21" t="n">
        <f aca="false">E20+E21+E22+E23+B27</f>
        <v>801.98065</v>
      </c>
    </row>
    <row r="33" customFormat="false" ht="15" hidden="false" customHeight="false" outlineLevel="0" collapsed="false">
      <c r="A33" s="4" t="s">
        <v>43</v>
      </c>
      <c r="B33" s="5"/>
      <c r="C33" s="5"/>
      <c r="D33" s="5"/>
      <c r="E33" s="5"/>
      <c r="F33" s="5"/>
    </row>
    <row r="34" customFormat="false" ht="15" hidden="false" customHeight="false" outlineLevel="0" collapsed="false">
      <c r="A34" s="7" t="s">
        <v>44</v>
      </c>
      <c r="B34" s="20" t="n">
        <v>849</v>
      </c>
    </row>
    <row r="35" customFormat="false" ht="15" hidden="false" customHeight="false" outlineLevel="0" collapsed="false">
      <c r="A35" s="7" t="s">
        <v>45</v>
      </c>
      <c r="B35" s="20" t="n">
        <v>1499</v>
      </c>
    </row>
    <row r="36" customFormat="false" ht="15" hidden="false" customHeight="false" outlineLevel="0" collapsed="false">
      <c r="A36" s="7" t="s">
        <v>46</v>
      </c>
      <c r="B36" s="20" t="n">
        <v>999</v>
      </c>
    </row>
    <row r="37" customFormat="false" ht="15" hidden="false" customHeight="false" outlineLevel="0" collapsed="false">
      <c r="A37" s="7" t="s">
        <v>47</v>
      </c>
      <c r="B37" s="22" t="n">
        <v>25</v>
      </c>
      <c r="C37" s="2" t="s">
        <v>48</v>
      </c>
    </row>
    <row r="39" customFormat="false" ht="15" hidden="false" customHeight="false" outlineLevel="0" collapsed="false">
      <c r="A39" s="4" t="s">
        <v>49</v>
      </c>
      <c r="B39" s="5"/>
      <c r="C39" s="5"/>
      <c r="D39" s="5"/>
      <c r="E39" s="5"/>
      <c r="F39" s="5"/>
    </row>
    <row r="40" customFormat="false" ht="15" hidden="false" customHeight="false" outlineLevel="0" collapsed="false">
      <c r="A40" s="16" t="s">
        <v>50</v>
      </c>
      <c r="B40" s="16" t="s">
        <v>51</v>
      </c>
      <c r="C40" s="16" t="s">
        <v>52</v>
      </c>
      <c r="D40" s="16" t="s">
        <v>53</v>
      </c>
      <c r="E40" s="16" t="s">
        <v>54</v>
      </c>
    </row>
    <row r="41" customFormat="false" ht="15" hidden="false" customHeight="false" outlineLevel="0" collapsed="false">
      <c r="A41" s="7" t="s">
        <v>55</v>
      </c>
      <c r="B41" s="7" t="s">
        <v>56</v>
      </c>
      <c r="C41" s="10" t="n">
        <v>0.25</v>
      </c>
      <c r="D41" s="18" t="n">
        <f aca="false">$B$34*(1-C41)</f>
        <v>636.75</v>
      </c>
      <c r="E41" s="18" t="n">
        <f aca="false">D41-$B$30</f>
        <v>386.666</v>
      </c>
    </row>
    <row r="42" customFormat="false" ht="15" hidden="false" customHeight="false" outlineLevel="0" collapsed="false">
      <c r="A42" s="7" t="s">
        <v>57</v>
      </c>
      <c r="B42" s="7" t="s">
        <v>58</v>
      </c>
      <c r="C42" s="10" t="n">
        <v>0.35</v>
      </c>
      <c r="D42" s="18" t="n">
        <f aca="false">$B$34*(1-C42)</f>
        <v>551.85</v>
      </c>
      <c r="E42" s="18" t="n">
        <f aca="false">D42-$B$30</f>
        <v>301.766</v>
      </c>
    </row>
    <row r="43" customFormat="false" ht="15" hidden="false" customHeight="false" outlineLevel="0" collapsed="false">
      <c r="A43" s="7" t="s">
        <v>59</v>
      </c>
      <c r="B43" s="7" t="s">
        <v>60</v>
      </c>
      <c r="C43" s="10" t="n">
        <v>0.4</v>
      </c>
      <c r="D43" s="18" t="n">
        <f aca="false">$B$34*(1-C43)</f>
        <v>509.4</v>
      </c>
      <c r="E43" s="18" t="n">
        <f aca="false">D43-$B$30</f>
        <v>259.316</v>
      </c>
    </row>
    <row r="45" customFormat="false" ht="15" hidden="false" customHeight="false" outlineLevel="0" collapsed="false">
      <c r="A45" s="4" t="s">
        <v>61</v>
      </c>
      <c r="B45" s="5"/>
      <c r="C45" s="5"/>
      <c r="D45" s="5"/>
      <c r="E45" s="5"/>
      <c r="F45" s="5"/>
    </row>
    <row r="46" customFormat="false" ht="15" hidden="false" customHeight="false" outlineLevel="0" collapsed="false">
      <c r="A46" s="7" t="s">
        <v>62</v>
      </c>
      <c r="B46" s="23" t="n">
        <v>3</v>
      </c>
    </row>
    <row r="47" customFormat="false" ht="15" hidden="false" customHeight="false" outlineLevel="0" collapsed="false">
      <c r="A47" s="7" t="s">
        <v>63</v>
      </c>
      <c r="B47" s="10" t="n">
        <v>0.6</v>
      </c>
      <c r="C47" s="2" t="s">
        <v>64</v>
      </c>
    </row>
    <row r="48" customFormat="false" ht="15" hidden="false" customHeight="false" outlineLevel="0" collapsed="false">
      <c r="A48" s="16" t="s">
        <v>65</v>
      </c>
      <c r="B48" s="21" t="n">
        <f aca="false">B46*B47</f>
        <v>1.8</v>
      </c>
    </row>
    <row r="50" customFormat="false" ht="15" hidden="false" customHeight="false" outlineLevel="0" collapsed="false">
      <c r="A50" s="4" t="s">
        <v>66</v>
      </c>
      <c r="B50" s="5"/>
      <c r="C50" s="5"/>
      <c r="D50" s="24" t="s">
        <v>67</v>
      </c>
      <c r="E50" s="5"/>
      <c r="F50" s="5"/>
    </row>
    <row r="51" customFormat="false" ht="15" hidden="false" customHeight="false" outlineLevel="0" collapsed="false">
      <c r="A51" s="16" t="s">
        <v>68</v>
      </c>
      <c r="B51" s="16" t="s">
        <v>69</v>
      </c>
      <c r="C51" s="16" t="s">
        <v>70</v>
      </c>
    </row>
    <row r="52" customFormat="false" ht="15" hidden="false" customHeight="false" outlineLevel="0" collapsed="false">
      <c r="A52" s="7" t="s">
        <v>71</v>
      </c>
      <c r="B52" s="10" t="n">
        <v>0.1</v>
      </c>
      <c r="C52" s="15" t="n">
        <v>1</v>
      </c>
      <c r="D52" s="3" t="s">
        <v>72</v>
      </c>
    </row>
    <row r="53" customFormat="false" ht="15" hidden="false" customHeight="false" outlineLevel="0" collapsed="false">
      <c r="A53" s="7" t="s">
        <v>73</v>
      </c>
      <c r="B53" s="10" t="n">
        <v>0.3</v>
      </c>
      <c r="C53" s="15" t="n">
        <v>0.33</v>
      </c>
      <c r="D53" s="3" t="s">
        <v>74</v>
      </c>
    </row>
    <row r="54" customFormat="false" ht="15" hidden="false" customHeight="false" outlineLevel="0" collapsed="false">
      <c r="A54" s="7" t="s">
        <v>75</v>
      </c>
      <c r="B54" s="10" t="n">
        <v>0.6</v>
      </c>
      <c r="C54" s="15" t="n">
        <v>0.08</v>
      </c>
      <c r="D54" s="3" t="s">
        <v>76</v>
      </c>
    </row>
    <row r="55" customFormat="false" ht="15" hidden="false" customHeight="false" outlineLevel="0" collapsed="false">
      <c r="A55" s="3" t="s">
        <v>77</v>
      </c>
      <c r="B55" s="25" t="n">
        <f aca="false">SUM(B52:B54)</f>
        <v>1</v>
      </c>
    </row>
    <row r="56" customFormat="false" ht="15" hidden="false" customHeight="false" outlineLevel="0" collapsed="false">
      <c r="A56" s="16" t="s">
        <v>78</v>
      </c>
      <c r="B56" s="26" t="n">
        <f aca="false">SUMPRODUCT(B52:B54,C52:C54)</f>
        <v>0.247</v>
      </c>
      <c r="C56" s="3" t="s">
        <v>79</v>
      </c>
    </row>
    <row r="57" customFormat="false" ht="15" hidden="false" customHeight="false" outlineLevel="0" collapsed="false">
      <c r="A57" s="7" t="s">
        <v>80</v>
      </c>
      <c r="B57" s="22" t="n">
        <v>2</v>
      </c>
      <c r="C57" s="3" t="s">
        <v>81</v>
      </c>
    </row>
    <row r="58" customFormat="false" ht="15" hidden="false" customHeight="false" outlineLevel="0" collapsed="false">
      <c r="A58" s="16" t="s">
        <v>82</v>
      </c>
      <c r="B58" s="26" t="n">
        <f aca="false">B56*B47</f>
        <v>0.1482</v>
      </c>
      <c r="C58" s="2" t="s">
        <v>83</v>
      </c>
    </row>
    <row r="60" customFormat="false" ht="15" hidden="false" customHeight="false" outlineLevel="0" collapsed="false">
      <c r="A60" s="4" t="s">
        <v>84</v>
      </c>
      <c r="B60" s="5"/>
      <c r="C60" s="5"/>
      <c r="D60" s="5"/>
      <c r="E60" s="5"/>
      <c r="F60" s="5"/>
    </row>
    <row r="61" customFormat="false" ht="15" hidden="false" customHeight="false" outlineLevel="0" collapsed="false">
      <c r="A61" s="7" t="s">
        <v>85</v>
      </c>
      <c r="B61" s="22" t="n">
        <v>3</v>
      </c>
      <c r="C61" s="2" t="s">
        <v>86</v>
      </c>
    </row>
    <row r="62" customFormat="false" ht="15" hidden="false" customHeight="false" outlineLevel="0" collapsed="false">
      <c r="A62" s="16" t="s">
        <v>87</v>
      </c>
      <c r="B62" s="16" t="n">
        <f aca="false">B61+B57</f>
        <v>5</v>
      </c>
      <c r="C62" s="3" t="s">
        <v>88</v>
      </c>
    </row>
    <row r="64" customFormat="false" ht="15" hidden="false" customHeight="false" outlineLevel="0" collapsed="false">
      <c r="A64" s="16" t="s">
        <v>89</v>
      </c>
      <c r="B64" s="16" t="s">
        <v>90</v>
      </c>
      <c r="C64" s="16" t="s">
        <v>91</v>
      </c>
    </row>
    <row r="65" customFormat="false" ht="15" hidden="false" customHeight="false" outlineLevel="0" collapsed="false">
      <c r="A65" s="7" t="s">
        <v>92</v>
      </c>
      <c r="B65" s="22" t="n">
        <v>1</v>
      </c>
      <c r="C65" s="2" t="s">
        <v>93</v>
      </c>
    </row>
    <row r="66" customFormat="false" ht="15" hidden="false" customHeight="false" outlineLevel="0" collapsed="false">
      <c r="A66" s="7" t="s">
        <v>94</v>
      </c>
      <c r="B66" s="22" t="n">
        <v>2</v>
      </c>
      <c r="C66" s="2" t="s">
        <v>95</v>
      </c>
    </row>
    <row r="67" customFormat="false" ht="15" hidden="false" customHeight="false" outlineLevel="0" collapsed="false">
      <c r="A67" s="7" t="s">
        <v>96</v>
      </c>
      <c r="B67" s="22" t="n">
        <v>3</v>
      </c>
      <c r="C67" s="2" t="s">
        <v>97</v>
      </c>
    </row>
    <row r="68" customFormat="false" ht="15" hidden="false" customHeight="false" outlineLevel="0" collapsed="false">
      <c r="A68" s="7" t="s">
        <v>98</v>
      </c>
      <c r="B68" s="22" t="n">
        <v>3</v>
      </c>
      <c r="C68" s="2" t="s">
        <v>99</v>
      </c>
    </row>
    <row r="70" customFormat="false" ht="15" hidden="false" customHeight="false" outlineLevel="0" collapsed="false">
      <c r="A70" s="4" t="s">
        <v>100</v>
      </c>
      <c r="B70" s="5"/>
      <c r="C70" s="5"/>
      <c r="D70" s="5"/>
      <c r="E70" s="5"/>
      <c r="F70" s="5"/>
    </row>
    <row r="71" customFormat="false" ht="15" hidden="false" customHeight="false" outlineLevel="0" collapsed="false">
      <c r="A71" s="7" t="s">
        <v>101</v>
      </c>
      <c r="B71" s="22" t="n">
        <v>8</v>
      </c>
      <c r="C71" s="2" t="s">
        <v>102</v>
      </c>
    </row>
    <row r="72" customFormat="false" ht="15" hidden="false" customHeight="false" outlineLevel="0" collapsed="false">
      <c r="A72" s="7" t="s">
        <v>103</v>
      </c>
      <c r="B72" s="10" t="n">
        <v>0</v>
      </c>
    </row>
    <row r="74" customFormat="false" ht="15" hidden="false" customHeight="false" outlineLevel="0" collapsed="false">
      <c r="A74" s="4" t="s">
        <v>104</v>
      </c>
      <c r="B74" s="5"/>
      <c r="C74" s="5"/>
      <c r="D74" s="5"/>
      <c r="E74" s="5"/>
      <c r="F74" s="5"/>
    </row>
    <row r="75" customFormat="false" ht="15" hidden="false" customHeight="false" outlineLevel="0" collapsed="false">
      <c r="A75" s="16" t="s">
        <v>105</v>
      </c>
      <c r="B75" s="16" t="s">
        <v>106</v>
      </c>
      <c r="C75" s="16" t="s">
        <v>107</v>
      </c>
      <c r="D75" s="16" t="s">
        <v>108</v>
      </c>
    </row>
    <row r="76" customFormat="false" ht="15" hidden="false" customHeight="false" outlineLevel="0" collapsed="false">
      <c r="A76" s="7" t="s">
        <v>109</v>
      </c>
      <c r="B76" s="20" t="n">
        <v>5000</v>
      </c>
      <c r="C76" s="20" t="n">
        <v>5500</v>
      </c>
      <c r="D76" s="20" t="n">
        <v>6000</v>
      </c>
    </row>
    <row r="77" customFormat="false" ht="15" hidden="false" customHeight="false" outlineLevel="0" collapsed="false">
      <c r="A77" s="7" t="s">
        <v>110</v>
      </c>
      <c r="B77" s="20" t="n">
        <v>2000</v>
      </c>
      <c r="C77" s="20" t="n">
        <v>2000</v>
      </c>
      <c r="D77" s="20" t="n">
        <v>2500</v>
      </c>
    </row>
    <row r="78" customFormat="false" ht="15" hidden="false" customHeight="false" outlineLevel="0" collapsed="false">
      <c r="A78" s="7" t="s">
        <v>111</v>
      </c>
      <c r="B78" s="20" t="n">
        <v>1500</v>
      </c>
      <c r="C78" s="20" t="n">
        <v>2500</v>
      </c>
      <c r="D78" s="20" t="n">
        <v>3000</v>
      </c>
    </row>
    <row r="79" customFormat="false" ht="15" hidden="false" customHeight="false" outlineLevel="0" collapsed="false">
      <c r="A79" s="7" t="s">
        <v>112</v>
      </c>
      <c r="B79" s="20" t="n">
        <v>600</v>
      </c>
      <c r="C79" s="20" t="n">
        <v>600</v>
      </c>
      <c r="D79" s="20" t="n">
        <v>700</v>
      </c>
    </row>
    <row r="80" customFormat="false" ht="15" hidden="false" customHeight="false" outlineLevel="0" collapsed="false">
      <c r="A80" s="7" t="s">
        <v>113</v>
      </c>
      <c r="B80" s="20" t="n">
        <v>400</v>
      </c>
      <c r="C80" s="20" t="n">
        <v>500</v>
      </c>
      <c r="D80" s="20" t="n">
        <v>600</v>
      </c>
    </row>
    <row r="81" customFormat="false" ht="15" hidden="false" customHeight="false" outlineLevel="0" collapsed="false">
      <c r="A81" s="7" t="s">
        <v>114</v>
      </c>
      <c r="B81" s="20" t="n">
        <v>750</v>
      </c>
      <c r="C81" s="20" t="n">
        <v>750</v>
      </c>
      <c r="D81" s="20" t="n">
        <v>1000</v>
      </c>
    </row>
    <row r="82" customFormat="false" ht="15" hidden="false" customHeight="false" outlineLevel="0" collapsed="false">
      <c r="A82" s="7" t="s">
        <v>115</v>
      </c>
      <c r="B82" s="20" t="n">
        <v>1500</v>
      </c>
      <c r="C82" s="20" t="n">
        <v>2000</v>
      </c>
      <c r="D82" s="20" t="n">
        <v>2500</v>
      </c>
    </row>
    <row r="83" customFormat="false" ht="15" hidden="false" customHeight="false" outlineLevel="0" collapsed="false">
      <c r="A83" s="7" t="s">
        <v>116</v>
      </c>
      <c r="B83" s="20" t="n">
        <v>1200</v>
      </c>
      <c r="C83" s="20" t="n">
        <v>2500</v>
      </c>
      <c r="D83" s="20" t="n">
        <v>3500</v>
      </c>
    </row>
    <row r="84" customFormat="false" ht="15" hidden="false" customHeight="false" outlineLevel="0" collapsed="false">
      <c r="A84" s="7" t="s">
        <v>117</v>
      </c>
      <c r="B84" s="20" t="n">
        <v>800</v>
      </c>
      <c r="C84" s="20" t="n">
        <v>1000</v>
      </c>
      <c r="D84" s="20" t="n">
        <v>1200</v>
      </c>
    </row>
    <row r="85" customFormat="false" ht="15" hidden="false" customHeight="false" outlineLevel="0" collapsed="false">
      <c r="A85" s="27" t="s">
        <v>118</v>
      </c>
      <c r="B85" s="28" t="n">
        <f aca="false">SUM(B76:B84)</f>
        <v>13750</v>
      </c>
      <c r="C85" s="28" t="n">
        <f aca="false">SUM(C76:C84)</f>
        <v>17350</v>
      </c>
      <c r="D85" s="28" t="n">
        <f aca="false">SUM(D76:D84)</f>
        <v>21000</v>
      </c>
    </row>
    <row r="87" customFormat="false" ht="15" hidden="false" customHeight="false" outlineLevel="0" collapsed="false">
      <c r="A87" s="29" t="s">
        <v>119</v>
      </c>
      <c r="B87" s="30"/>
      <c r="C87" s="30"/>
      <c r="D87" s="30"/>
      <c r="E87" s="30"/>
      <c r="F87" s="30"/>
    </row>
    <row r="88" customFormat="false" ht="15" hidden="false" customHeight="false" outlineLevel="0" collapsed="false">
      <c r="A88" s="16" t="s">
        <v>120</v>
      </c>
      <c r="B88" s="31" t="n">
        <f aca="false">(B34-B30)/B34</f>
        <v>0.705436984687868</v>
      </c>
    </row>
    <row r="89" customFormat="false" ht="15" hidden="false" customHeight="false" outlineLevel="0" collapsed="false">
      <c r="A89" s="16" t="s">
        <v>121</v>
      </c>
      <c r="B89" s="31" t="n">
        <f aca="false">(B35-B31)/B35</f>
        <v>0.464989559706471</v>
      </c>
    </row>
    <row r="90" customFormat="false" ht="15" hidden="false" customHeight="false" outlineLevel="0" collapsed="false">
      <c r="A90" s="16" t="s">
        <v>122</v>
      </c>
      <c r="B90" s="31" t="n">
        <f aca="false">(B36-B31)/B36</f>
        <v>0.197216566566567</v>
      </c>
    </row>
    <row r="91" customFormat="false" ht="15" hidden="false" customHeight="false" outlineLevel="0" collapsed="false">
      <c r="A91" s="16" t="s">
        <v>123</v>
      </c>
      <c r="B91" s="32" t="n">
        <f aca="false">E41</f>
        <v>386.666</v>
      </c>
    </row>
    <row r="92" customFormat="false" ht="15" hidden="false" customHeight="false" outlineLevel="0" collapsed="false">
      <c r="A92" s="16" t="s">
        <v>124</v>
      </c>
      <c r="B92" s="32" t="n">
        <f aca="false">E42</f>
        <v>301.766</v>
      </c>
    </row>
    <row r="93" customFormat="false" ht="15" hidden="false" customHeight="false" outlineLevel="0" collapsed="false">
      <c r="A93" s="16" t="s">
        <v>125</v>
      </c>
      <c r="B93" s="26" t="n">
        <f aca="false">B56</f>
        <v>0.247</v>
      </c>
    </row>
    <row r="94" customFormat="false" ht="15" hidden="false" customHeight="false" outlineLevel="0" collapsed="false">
      <c r="A94" s="16" t="s">
        <v>126</v>
      </c>
      <c r="B94" s="26" t="n">
        <f aca="false">B58</f>
        <v>0.1482</v>
      </c>
    </row>
    <row r="95" customFormat="false" ht="15" hidden="false" customHeight="false" outlineLevel="0" collapsed="false">
      <c r="A95" s="16" t="s">
        <v>127</v>
      </c>
      <c r="B95" s="32" t="n">
        <f aca="false">B58*B46</f>
        <v>0.4446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886A"/>
    <pageSetUpPr fitToPage="false"/>
  </sheetPr>
  <dimension ref="A1:T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1" min="2" style="0" width="12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B4" s="6" t="s">
        <v>130</v>
      </c>
      <c r="C4" s="6" t="s">
        <v>131</v>
      </c>
      <c r="D4" s="6" t="s">
        <v>132</v>
      </c>
      <c r="E4" s="6" t="s">
        <v>133</v>
      </c>
      <c r="F4" s="6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  <c r="S4" s="6" t="s">
        <v>147</v>
      </c>
      <c r="T4" s="33" t="s">
        <v>148</v>
      </c>
    </row>
    <row r="5" customFormat="false" ht="15" hidden="false" customHeight="false" outlineLevel="0" collapsed="false">
      <c r="A5" s="4" t="s">
        <v>149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7" t="s">
        <v>150</v>
      </c>
      <c r="B6" s="34" t="n">
        <f aca="false">Assumptions!$B$71</f>
        <v>8</v>
      </c>
      <c r="C6" s="34" t="n">
        <f aca="false">Assumptions!$B$71</f>
        <v>8</v>
      </c>
      <c r="D6" s="34" t="n">
        <f aca="false">Assumptions!$B$71</f>
        <v>8</v>
      </c>
      <c r="E6" s="34" t="n">
        <f aca="false">Assumptions!$B$71</f>
        <v>8</v>
      </c>
      <c r="F6" s="34" t="n">
        <f aca="false">Assumptions!$B$71</f>
        <v>8</v>
      </c>
      <c r="G6" s="34" t="n">
        <f aca="false">Assumptions!$B$71</f>
        <v>8</v>
      </c>
      <c r="H6" s="34" t="n">
        <f aca="false">Assumptions!$B$71</f>
        <v>8</v>
      </c>
      <c r="I6" s="34" t="n">
        <f aca="false">Assumptions!$B$71</f>
        <v>8</v>
      </c>
      <c r="J6" s="34" t="n">
        <f aca="false">Assumptions!$B$71</f>
        <v>8</v>
      </c>
      <c r="K6" s="34" t="n">
        <f aca="false">Assumptions!$B$71</f>
        <v>8</v>
      </c>
      <c r="L6" s="34" t="n">
        <f aca="false">Assumptions!$B$71</f>
        <v>8</v>
      </c>
      <c r="M6" s="34" t="n">
        <f aca="false">Assumptions!$B$71</f>
        <v>8</v>
      </c>
      <c r="N6" s="34" t="n">
        <f aca="false">Assumptions!$B$71</f>
        <v>8</v>
      </c>
      <c r="O6" s="34" t="n">
        <f aca="false">Assumptions!$B$71</f>
        <v>8</v>
      </c>
      <c r="P6" s="34" t="n">
        <f aca="false">Assumptions!$B$71</f>
        <v>8</v>
      </c>
      <c r="Q6" s="34" t="n">
        <f aca="false">Assumptions!$B$71</f>
        <v>8</v>
      </c>
      <c r="R6" s="34" t="n">
        <f aca="false">Assumptions!$B$71</f>
        <v>8</v>
      </c>
      <c r="S6" s="34" t="n">
        <f aca="false">Assumptions!$B$71</f>
        <v>8</v>
      </c>
    </row>
    <row r="7" customFormat="false" ht="15" hidden="false" customHeight="false" outlineLevel="0" collapsed="false">
      <c r="A7" s="16" t="s">
        <v>151</v>
      </c>
      <c r="B7" s="35" t="n">
        <f aca="false">B6</f>
        <v>8</v>
      </c>
      <c r="C7" s="35" t="n">
        <f aca="false">B7+C6</f>
        <v>16</v>
      </c>
      <c r="D7" s="35" t="n">
        <f aca="false">C7+D6</f>
        <v>24</v>
      </c>
      <c r="E7" s="35" t="n">
        <f aca="false">D7+E6</f>
        <v>32</v>
      </c>
      <c r="F7" s="35" t="n">
        <f aca="false">E7+F6</f>
        <v>40</v>
      </c>
      <c r="G7" s="35" t="n">
        <f aca="false">F7+G6</f>
        <v>48</v>
      </c>
      <c r="H7" s="35" t="n">
        <f aca="false">G7+H6</f>
        <v>56</v>
      </c>
      <c r="I7" s="35" t="n">
        <f aca="false">H7+I6</f>
        <v>64</v>
      </c>
      <c r="J7" s="35" t="n">
        <f aca="false">I7+J6</f>
        <v>72</v>
      </c>
      <c r="K7" s="35" t="n">
        <f aca="false">J7+K6</f>
        <v>80</v>
      </c>
      <c r="L7" s="35" t="n">
        <f aca="false">K7+L6</f>
        <v>88</v>
      </c>
      <c r="M7" s="35" t="n">
        <f aca="false">L7+M6</f>
        <v>96</v>
      </c>
      <c r="N7" s="35" t="n">
        <f aca="false">M7+N6</f>
        <v>104</v>
      </c>
      <c r="O7" s="35" t="n">
        <f aca="false">N7+O6</f>
        <v>112</v>
      </c>
      <c r="P7" s="35" t="n">
        <f aca="false">O7+P6</f>
        <v>120</v>
      </c>
      <c r="Q7" s="35" t="n">
        <f aca="false">P7+Q6</f>
        <v>128</v>
      </c>
      <c r="R7" s="35" t="n">
        <f aca="false">Q7+R6</f>
        <v>136</v>
      </c>
      <c r="S7" s="35" t="n">
        <f aca="false">R7+S6</f>
        <v>144</v>
      </c>
      <c r="T7" s="35" t="n">
        <f aca="false">S7</f>
        <v>144</v>
      </c>
    </row>
    <row r="9" customFormat="false" ht="15" hidden="false" customHeight="false" outlineLevel="0" collapsed="false">
      <c r="A9" s="4" t="s">
        <v>152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customFormat="false" ht="15" hidden="false" customHeight="false" outlineLevel="0" collapsed="false">
      <c r="A10" s="7" t="s">
        <v>153</v>
      </c>
      <c r="B10" s="36" t="n">
        <v>0</v>
      </c>
      <c r="C10" s="36" t="n">
        <v>0</v>
      </c>
      <c r="D10" s="36" t="n">
        <v>0</v>
      </c>
      <c r="E10" s="36" t="n">
        <f aca="false">1*Assumptions!$B$71*Assumptions!$B$65</f>
        <v>8</v>
      </c>
      <c r="F10" s="36" t="n">
        <f aca="false">2*Assumptions!$B$71*Assumptions!$B$65</f>
        <v>16</v>
      </c>
      <c r="G10" s="36" t="n">
        <f aca="false">2*Assumptions!$B$71*Assumptions!$B$65</f>
        <v>16</v>
      </c>
      <c r="H10" s="36" t="n">
        <f aca="false">2*Assumptions!$B$71*Assumptions!$B$65</f>
        <v>16</v>
      </c>
      <c r="I10" s="36" t="n">
        <f aca="false">2*Assumptions!$B$71*Assumptions!$B$65</f>
        <v>16</v>
      </c>
      <c r="J10" s="36" t="n">
        <f aca="false">2*Assumptions!$B$71*Assumptions!$B$65</f>
        <v>16</v>
      </c>
      <c r="K10" s="36" t="n">
        <f aca="false">2*Assumptions!$B$71*Assumptions!$B$65</f>
        <v>16</v>
      </c>
      <c r="L10" s="36" t="n">
        <f aca="false">2*Assumptions!$B$71*Assumptions!$B$65</f>
        <v>16</v>
      </c>
      <c r="M10" s="36" t="n">
        <f aca="false">2*Assumptions!$B$71*Assumptions!$B$65</f>
        <v>16</v>
      </c>
      <c r="N10" s="36" t="n">
        <f aca="false">2*Assumptions!$B$71*Assumptions!$B$65</f>
        <v>16</v>
      </c>
      <c r="O10" s="36" t="n">
        <f aca="false">2*Assumptions!$B$71*Assumptions!$B$65</f>
        <v>16</v>
      </c>
      <c r="P10" s="36" t="n">
        <f aca="false">2*Assumptions!$B$71*Assumptions!$B$65</f>
        <v>16</v>
      </c>
      <c r="Q10" s="36" t="n">
        <f aca="false">2*Assumptions!$B$71*Assumptions!$B$65</f>
        <v>16</v>
      </c>
      <c r="R10" s="36" t="n">
        <f aca="false">2*Assumptions!$B$71*Assumptions!$B$65</f>
        <v>16</v>
      </c>
      <c r="S10" s="36" t="n">
        <f aca="false">2*Assumptions!$B$71*Assumptions!$B$65</f>
        <v>16</v>
      </c>
    </row>
    <row r="11" customFormat="false" ht="15" hidden="false" customHeight="false" outlineLevel="0" collapsed="false">
      <c r="A11" s="7" t="s">
        <v>154</v>
      </c>
      <c r="B11" s="36" t="n">
        <v>0</v>
      </c>
      <c r="C11" s="36" t="n">
        <v>0</v>
      </c>
      <c r="D11" s="36" t="n">
        <v>0</v>
      </c>
      <c r="E11" s="36" t="n">
        <v>0</v>
      </c>
      <c r="F11" s="36" t="n">
        <v>0</v>
      </c>
      <c r="G11" s="36" t="n">
        <f aca="false">1*Assumptions!$B$71*Assumptions!$B$66</f>
        <v>16</v>
      </c>
      <c r="H11" s="36" t="n">
        <f aca="false">2*Assumptions!$B$71*Assumptions!$B$66</f>
        <v>32</v>
      </c>
      <c r="I11" s="36" t="n">
        <f aca="false">3*Assumptions!$B$71*Assumptions!$B$66</f>
        <v>48</v>
      </c>
      <c r="J11" s="36" t="n">
        <f aca="false">3*Assumptions!$B$71*Assumptions!$B$66</f>
        <v>48</v>
      </c>
      <c r="K11" s="36" t="n">
        <f aca="false">3*Assumptions!$B$71*Assumptions!$B$66</f>
        <v>48</v>
      </c>
      <c r="L11" s="36" t="n">
        <f aca="false">3*Assumptions!$B$71*Assumptions!$B$66</f>
        <v>48</v>
      </c>
      <c r="M11" s="36" t="n">
        <f aca="false">3*Assumptions!$B$71*Assumptions!$B$66</f>
        <v>48</v>
      </c>
      <c r="N11" s="36" t="n">
        <f aca="false">3*Assumptions!$B$71*Assumptions!$B$66</f>
        <v>48</v>
      </c>
      <c r="O11" s="36" t="n">
        <f aca="false">3*Assumptions!$B$71*Assumptions!$B$66</f>
        <v>48</v>
      </c>
      <c r="P11" s="36" t="n">
        <f aca="false">3*Assumptions!$B$71*Assumptions!$B$66</f>
        <v>48</v>
      </c>
      <c r="Q11" s="36" t="n">
        <f aca="false">3*Assumptions!$B$71*Assumptions!$B$66</f>
        <v>48</v>
      </c>
      <c r="R11" s="36" t="n">
        <f aca="false">3*Assumptions!$B$71*Assumptions!$B$66</f>
        <v>48</v>
      </c>
      <c r="S11" s="36" t="n">
        <f aca="false">3*Assumptions!$B$71*Assumptions!$B$66</f>
        <v>48</v>
      </c>
    </row>
    <row r="12" customFormat="false" ht="15" hidden="false" customHeight="false" outlineLevel="0" collapsed="false">
      <c r="A12" s="7" t="s">
        <v>155</v>
      </c>
      <c r="B12" s="36" t="n">
        <v>0</v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 t="n">
        <v>0</v>
      </c>
      <c r="I12" s="36" t="n">
        <v>0</v>
      </c>
      <c r="J12" s="36" t="n">
        <f aca="false">1*Assumptions!$B$71*Assumptions!$B$67</f>
        <v>24</v>
      </c>
      <c r="K12" s="36" t="n">
        <f aca="false">2*Assumptions!$B$71*Assumptions!$B$67</f>
        <v>48</v>
      </c>
      <c r="L12" s="36" t="n">
        <f aca="false">3*Assumptions!$B$71*Assumptions!$B$67</f>
        <v>72</v>
      </c>
      <c r="M12" s="36" t="n">
        <f aca="false">4*Assumptions!$B$71*Assumptions!$B$67</f>
        <v>96</v>
      </c>
      <c r="N12" s="36" t="n">
        <f aca="false">4*Assumptions!$B$71*Assumptions!$B$67</f>
        <v>96</v>
      </c>
      <c r="O12" s="36" t="n">
        <f aca="false">4*Assumptions!$B$71*Assumptions!$B$67</f>
        <v>96</v>
      </c>
      <c r="P12" s="36" t="n">
        <f aca="false">4*Assumptions!$B$71*Assumptions!$B$67</f>
        <v>96</v>
      </c>
      <c r="Q12" s="36" t="n">
        <f aca="false">4*Assumptions!$B$71*Assumptions!$B$67</f>
        <v>96</v>
      </c>
      <c r="R12" s="36" t="n">
        <f aca="false">4*Assumptions!$B$71*Assumptions!$B$67</f>
        <v>96</v>
      </c>
      <c r="S12" s="36" t="n">
        <f aca="false">4*Assumptions!$B$71*Assumptions!$B$67</f>
        <v>96</v>
      </c>
    </row>
    <row r="13" customFormat="false" ht="15" hidden="false" customHeight="false" outlineLevel="0" collapsed="false">
      <c r="A13" s="7" t="s">
        <v>156</v>
      </c>
      <c r="B13" s="36" t="n">
        <v>0</v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6" t="n">
        <f aca="false">1*Assumptions!$B$71*Assumptions!$B$68</f>
        <v>24</v>
      </c>
      <c r="O13" s="36" t="n">
        <f aca="false">2*Assumptions!$B$71*Assumptions!$B$68</f>
        <v>48</v>
      </c>
      <c r="P13" s="36" t="n">
        <f aca="false">3*Assumptions!$B$71*Assumptions!$B$68</f>
        <v>72</v>
      </c>
      <c r="Q13" s="36" t="n">
        <f aca="false">4*Assumptions!$B$71*Assumptions!$B$68</f>
        <v>96</v>
      </c>
      <c r="R13" s="36" t="n">
        <f aca="false">5*Assumptions!$B$71*Assumptions!$B$68</f>
        <v>120</v>
      </c>
      <c r="S13" s="36" t="n">
        <f aca="false">6*Assumptions!$B$71*Assumptions!$B$68</f>
        <v>144</v>
      </c>
    </row>
    <row r="14" customFormat="false" ht="15" hidden="false" customHeight="false" outlineLevel="0" collapsed="false">
      <c r="A14" s="12" t="s">
        <v>157</v>
      </c>
      <c r="B14" s="37" t="n">
        <f aca="false">SUM(B10:B13)</f>
        <v>0</v>
      </c>
      <c r="C14" s="37" t="n">
        <f aca="false">SUM(C10:C13)</f>
        <v>0</v>
      </c>
      <c r="D14" s="37" t="n">
        <f aca="false">SUM(D10:D13)</f>
        <v>0</v>
      </c>
      <c r="E14" s="37" t="n">
        <f aca="false">SUM(E10:E13)</f>
        <v>8</v>
      </c>
      <c r="F14" s="37" t="n">
        <f aca="false">SUM(F10:F13)</f>
        <v>16</v>
      </c>
      <c r="G14" s="37" t="n">
        <f aca="false">SUM(G10:G13)</f>
        <v>32</v>
      </c>
      <c r="H14" s="37" t="n">
        <f aca="false">SUM(H10:H13)</f>
        <v>48</v>
      </c>
      <c r="I14" s="37" t="n">
        <f aca="false">SUM(I10:I13)</f>
        <v>64</v>
      </c>
      <c r="J14" s="37" t="n">
        <f aca="false">SUM(J10:J13)</f>
        <v>88</v>
      </c>
      <c r="K14" s="37" t="n">
        <f aca="false">SUM(K10:K13)</f>
        <v>112</v>
      </c>
      <c r="L14" s="37" t="n">
        <f aca="false">SUM(L10:L13)</f>
        <v>136</v>
      </c>
      <c r="M14" s="37" t="n">
        <f aca="false">SUM(M10:M13)</f>
        <v>160</v>
      </c>
      <c r="N14" s="37" t="n">
        <f aca="false">SUM(N10:N13)</f>
        <v>184</v>
      </c>
      <c r="O14" s="37" t="n">
        <f aca="false">SUM(O10:O13)</f>
        <v>208</v>
      </c>
      <c r="P14" s="37" t="n">
        <f aca="false">SUM(P10:P13)</f>
        <v>232</v>
      </c>
      <c r="Q14" s="37" t="n">
        <f aca="false">SUM(Q10:Q13)</f>
        <v>256</v>
      </c>
      <c r="R14" s="37" t="n">
        <f aca="false">SUM(R10:R13)</f>
        <v>280</v>
      </c>
      <c r="S14" s="37" t="n">
        <f aca="false">SUM(S10:S13)</f>
        <v>304</v>
      </c>
      <c r="T14" s="37" t="n">
        <f aca="false">SUM(B14:S14)</f>
        <v>2128</v>
      </c>
    </row>
    <row r="15" customFormat="false" ht="15" hidden="false" customHeight="false" outlineLevel="0" collapsed="false">
      <c r="A15" s="38" t="s">
        <v>158</v>
      </c>
      <c r="B15" s="35" t="n">
        <f aca="false">B14</f>
        <v>0</v>
      </c>
      <c r="C15" s="35" t="n">
        <f aca="false">B15+C14</f>
        <v>0</v>
      </c>
      <c r="D15" s="35" t="n">
        <f aca="false">C15+D14</f>
        <v>0</v>
      </c>
      <c r="E15" s="35" t="n">
        <f aca="false">D15+E14</f>
        <v>8</v>
      </c>
      <c r="F15" s="35" t="n">
        <f aca="false">E15+F14</f>
        <v>24</v>
      </c>
      <c r="G15" s="35" t="n">
        <f aca="false">F15+G14</f>
        <v>56</v>
      </c>
      <c r="H15" s="35" t="n">
        <f aca="false">G15+H14</f>
        <v>104</v>
      </c>
      <c r="I15" s="35" t="n">
        <f aca="false">H15+I14</f>
        <v>168</v>
      </c>
      <c r="J15" s="35" t="n">
        <f aca="false">I15+J14</f>
        <v>256</v>
      </c>
      <c r="K15" s="35" t="n">
        <f aca="false">J15+K14</f>
        <v>368</v>
      </c>
      <c r="L15" s="35" t="n">
        <f aca="false">K15+L14</f>
        <v>504</v>
      </c>
      <c r="M15" s="35" t="n">
        <f aca="false">L15+M14</f>
        <v>664</v>
      </c>
      <c r="N15" s="35" t="n">
        <f aca="false">M15+N14</f>
        <v>848</v>
      </c>
      <c r="O15" s="35" t="n">
        <f aca="false">N15+O14</f>
        <v>1056</v>
      </c>
      <c r="P15" s="35" t="n">
        <f aca="false">O15+P14</f>
        <v>1288</v>
      </c>
      <c r="Q15" s="35" t="n">
        <f aca="false">P15+Q14</f>
        <v>1544</v>
      </c>
      <c r="R15" s="35" t="n">
        <f aca="false">Q15+R14</f>
        <v>1824</v>
      </c>
      <c r="S15" s="35" t="n">
        <f aca="false">R15+S14</f>
        <v>2128</v>
      </c>
      <c r="T15" s="35" t="n">
        <f aca="false">S15</f>
        <v>2128</v>
      </c>
    </row>
    <row r="17" customFormat="false" ht="15" hidden="false" customHeight="false" outlineLevel="0" collapsed="false">
      <c r="A17" s="4" t="s">
        <v>159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customFormat="false" ht="15" hidden="false" customHeight="false" outlineLevel="0" collapsed="false">
      <c r="A18" s="7" t="s">
        <v>160</v>
      </c>
      <c r="B18" s="36" t="n">
        <v>0</v>
      </c>
      <c r="C18" s="36" t="n">
        <v>0</v>
      </c>
      <c r="D18" s="36" t="n">
        <f aca="false">B15</f>
        <v>0</v>
      </c>
      <c r="E18" s="36" t="n">
        <f aca="false">C15</f>
        <v>0</v>
      </c>
      <c r="F18" s="36" t="n">
        <f aca="false">D15</f>
        <v>0</v>
      </c>
      <c r="G18" s="36" t="n">
        <f aca="false">E15</f>
        <v>8</v>
      </c>
      <c r="H18" s="36" t="n">
        <f aca="false">F15</f>
        <v>24</v>
      </c>
      <c r="I18" s="36" t="n">
        <f aca="false">G15</f>
        <v>56</v>
      </c>
      <c r="J18" s="36" t="n">
        <f aca="false">H15</f>
        <v>104</v>
      </c>
      <c r="K18" s="36" t="n">
        <f aca="false">I15</f>
        <v>168</v>
      </c>
      <c r="L18" s="36" t="n">
        <f aca="false">J15</f>
        <v>256</v>
      </c>
      <c r="M18" s="36" t="n">
        <f aca="false">K15</f>
        <v>368</v>
      </c>
      <c r="N18" s="36" t="n">
        <f aca="false">L15</f>
        <v>504</v>
      </c>
      <c r="O18" s="36" t="n">
        <f aca="false">M15</f>
        <v>664</v>
      </c>
      <c r="P18" s="36" t="n">
        <f aca="false">N15</f>
        <v>848</v>
      </c>
      <c r="Q18" s="36" t="n">
        <f aca="false">O15</f>
        <v>1056</v>
      </c>
      <c r="R18" s="36" t="n">
        <f aca="false">P15</f>
        <v>1288</v>
      </c>
      <c r="S18" s="36" t="n">
        <f aca="false">Q15</f>
        <v>1544</v>
      </c>
      <c r="T18" s="36" t="n">
        <f aca="false">S18</f>
        <v>1544</v>
      </c>
    </row>
    <row r="19" customFormat="false" ht="15" hidden="false" customHeight="false" outlineLevel="0" collapsed="false">
      <c r="A19" s="7" t="s">
        <v>161</v>
      </c>
      <c r="B19" s="39" t="n">
        <f aca="false">B18*Assumptions!$B$56</f>
        <v>0</v>
      </c>
      <c r="C19" s="39" t="n">
        <f aca="false">C18*Assumptions!$B$56</f>
        <v>0</v>
      </c>
      <c r="D19" s="39" t="n">
        <f aca="false">D18*Assumptions!$B$56</f>
        <v>0</v>
      </c>
      <c r="E19" s="39" t="n">
        <f aca="false">E18*Assumptions!$B$56</f>
        <v>0</v>
      </c>
      <c r="F19" s="39" t="n">
        <f aca="false">F18*Assumptions!$B$56</f>
        <v>0</v>
      </c>
      <c r="G19" s="39" t="n">
        <f aca="false">G18*Assumptions!$B$56</f>
        <v>1.976</v>
      </c>
      <c r="H19" s="39" t="n">
        <f aca="false">H18*Assumptions!$B$56</f>
        <v>5.928</v>
      </c>
      <c r="I19" s="39" t="n">
        <f aca="false">I18*Assumptions!$B$56</f>
        <v>13.832</v>
      </c>
      <c r="J19" s="39" t="n">
        <f aca="false">J18*Assumptions!$B$56</f>
        <v>25.688</v>
      </c>
      <c r="K19" s="39" t="n">
        <f aca="false">K18*Assumptions!$B$56</f>
        <v>41.496</v>
      </c>
      <c r="L19" s="39" t="n">
        <f aca="false">L18*Assumptions!$B$56</f>
        <v>63.232</v>
      </c>
      <c r="M19" s="39" t="n">
        <f aca="false">M18*Assumptions!$B$56</f>
        <v>90.896</v>
      </c>
      <c r="N19" s="39" t="n">
        <f aca="false">N18*Assumptions!$B$56</f>
        <v>124.488</v>
      </c>
      <c r="O19" s="39" t="n">
        <f aca="false">O18*Assumptions!$B$56</f>
        <v>164.008</v>
      </c>
      <c r="P19" s="39" t="n">
        <f aca="false">P18*Assumptions!$B$56</f>
        <v>209.456</v>
      </c>
      <c r="Q19" s="39" t="n">
        <f aca="false">Q18*Assumptions!$B$56</f>
        <v>260.832</v>
      </c>
      <c r="R19" s="39" t="n">
        <f aca="false">R18*Assumptions!$B$56</f>
        <v>318.136</v>
      </c>
      <c r="S19" s="39" t="n">
        <f aca="false">S18*Assumptions!$B$56</f>
        <v>381.368</v>
      </c>
      <c r="T19" s="39" t="n">
        <f aca="false">SUM(B19:S19)</f>
        <v>1701.336</v>
      </c>
    </row>
    <row r="20" customFormat="false" ht="15" hidden="false" customHeight="false" outlineLevel="0" collapsed="false">
      <c r="A20" s="12" t="s">
        <v>162</v>
      </c>
      <c r="B20" s="37" t="n">
        <f aca="false">B19*Assumptions!$B$47</f>
        <v>0</v>
      </c>
      <c r="C20" s="37" t="n">
        <f aca="false">C19*Assumptions!$B$47</f>
        <v>0</v>
      </c>
      <c r="D20" s="37" t="n">
        <f aca="false">D19*Assumptions!$B$47</f>
        <v>0</v>
      </c>
      <c r="E20" s="37" t="n">
        <f aca="false">E19*Assumptions!$B$47</f>
        <v>0</v>
      </c>
      <c r="F20" s="37" t="n">
        <f aca="false">F19*Assumptions!$B$47</f>
        <v>0</v>
      </c>
      <c r="G20" s="37" t="n">
        <f aca="false">G19*Assumptions!$B$47</f>
        <v>1.1856</v>
      </c>
      <c r="H20" s="37" t="n">
        <f aca="false">H19*Assumptions!$B$47</f>
        <v>3.5568</v>
      </c>
      <c r="I20" s="37" t="n">
        <f aca="false">I19*Assumptions!$B$47</f>
        <v>8.2992</v>
      </c>
      <c r="J20" s="37" t="n">
        <f aca="false">J19*Assumptions!$B$47</f>
        <v>15.4128</v>
      </c>
      <c r="K20" s="37" t="n">
        <f aca="false">K19*Assumptions!$B$47</f>
        <v>24.8976</v>
      </c>
      <c r="L20" s="37" t="n">
        <f aca="false">L19*Assumptions!$B$47</f>
        <v>37.9392</v>
      </c>
      <c r="M20" s="37" t="n">
        <f aca="false">M19*Assumptions!$B$47</f>
        <v>54.5376</v>
      </c>
      <c r="N20" s="37" t="n">
        <f aca="false">N19*Assumptions!$B$47</f>
        <v>74.6928</v>
      </c>
      <c r="O20" s="37" t="n">
        <f aca="false">O19*Assumptions!$B$47</f>
        <v>98.4048</v>
      </c>
      <c r="P20" s="37" t="n">
        <f aca="false">P19*Assumptions!$B$47</f>
        <v>125.6736</v>
      </c>
      <c r="Q20" s="37" t="n">
        <f aca="false">Q19*Assumptions!$B$47</f>
        <v>156.4992</v>
      </c>
      <c r="R20" s="37" t="n">
        <f aca="false">R19*Assumptions!$B$47</f>
        <v>190.8816</v>
      </c>
      <c r="S20" s="37" t="n">
        <f aca="false">S19*Assumptions!$B$47</f>
        <v>228.8208</v>
      </c>
      <c r="T20" s="37" t="n">
        <f aca="false">SUM(B20:S20)</f>
        <v>1020.8016</v>
      </c>
    </row>
    <row r="21" customFormat="false" ht="15" hidden="false" customHeight="false" outlineLevel="0" collapsed="false">
      <c r="A21" s="3" t="s">
        <v>163</v>
      </c>
      <c r="B21" s="40" t="n">
        <f aca="false">IF(B18&gt;0,B20/B18,0)</f>
        <v>0</v>
      </c>
      <c r="C21" s="40" t="n">
        <f aca="false">IF(C18&gt;0,C20/C18,0)</f>
        <v>0</v>
      </c>
      <c r="D21" s="40" t="n">
        <f aca="false">IF(D18&gt;0,D20/D18,0)</f>
        <v>0</v>
      </c>
      <c r="E21" s="40" t="n">
        <f aca="false">IF(E18&gt;0,E20/E18,0)</f>
        <v>0</v>
      </c>
      <c r="F21" s="40" t="n">
        <f aca="false">IF(F18&gt;0,F20/F18,0)</f>
        <v>0</v>
      </c>
      <c r="G21" s="40" t="n">
        <f aca="false">IF(G18&gt;0,G20/G18,0)</f>
        <v>0.1482</v>
      </c>
      <c r="H21" s="40" t="n">
        <f aca="false">IF(H18&gt;0,H20/H18,0)</f>
        <v>0.1482</v>
      </c>
      <c r="I21" s="40" t="n">
        <f aca="false">IF(I18&gt;0,I20/I18,0)</f>
        <v>0.1482</v>
      </c>
      <c r="J21" s="40" t="n">
        <f aca="false">IF(J18&gt;0,J20/J18,0)</f>
        <v>0.1482</v>
      </c>
      <c r="K21" s="40" t="n">
        <f aca="false">IF(K18&gt;0,K20/K18,0)</f>
        <v>0.1482</v>
      </c>
      <c r="L21" s="40" t="n">
        <f aca="false">IF(L18&gt;0,L20/L18,0)</f>
        <v>0.1482</v>
      </c>
      <c r="M21" s="40" t="n">
        <f aca="false">IF(M18&gt;0,M20/M18,0)</f>
        <v>0.1482</v>
      </c>
      <c r="N21" s="40" t="n">
        <f aca="false">IF(N18&gt;0,N20/N18,0)</f>
        <v>0.1482</v>
      </c>
      <c r="O21" s="40" t="n">
        <f aca="false">IF(O18&gt;0,O20/O18,0)</f>
        <v>0.1482</v>
      </c>
      <c r="P21" s="40" t="n">
        <f aca="false">IF(P18&gt;0,P20/P18,0)</f>
        <v>0.1482</v>
      </c>
      <c r="Q21" s="40" t="n">
        <f aca="false">IF(Q18&gt;0,Q20/Q18,0)</f>
        <v>0.1482</v>
      </c>
      <c r="R21" s="40" t="n">
        <f aca="false">IF(R18&gt;0,R20/R18,0)</f>
        <v>0.1482</v>
      </c>
      <c r="S21" s="40" t="n">
        <f aca="false">IF(S18&gt;0,S20/S18,0)</f>
        <v>0.1482</v>
      </c>
    </row>
    <row r="23" customFormat="false" ht="15" hidden="false" customHeight="false" outlineLevel="0" collapsed="false">
      <c r="A23" s="4" t="s">
        <v>164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customFormat="false" ht="15" hidden="false" customHeight="false" outlineLevel="0" collapsed="false">
      <c r="A24" s="16" t="s">
        <v>165</v>
      </c>
      <c r="B24" s="41" t="n">
        <f aca="false">B6*Assumptions!$B$36</f>
        <v>7992</v>
      </c>
      <c r="C24" s="41" t="n">
        <f aca="false">C6*Assumptions!$B$36</f>
        <v>7992</v>
      </c>
      <c r="D24" s="41" t="n">
        <f aca="false">D6*Assumptions!$B$36</f>
        <v>7992</v>
      </c>
      <c r="E24" s="41" t="n">
        <f aca="false">1*Assumptions!$B$36+7*Assumptions!$B$35</f>
        <v>11492</v>
      </c>
      <c r="F24" s="41" t="n">
        <f aca="false">F6*Assumptions!$B$35</f>
        <v>11992</v>
      </c>
      <c r="G24" s="41" t="n">
        <f aca="false">G6*Assumptions!$B$35</f>
        <v>11992</v>
      </c>
      <c r="H24" s="41" t="n">
        <f aca="false">H6*Assumptions!$B$35</f>
        <v>11992</v>
      </c>
      <c r="I24" s="41" t="n">
        <f aca="false">I6*Assumptions!$B$35</f>
        <v>11992</v>
      </c>
      <c r="J24" s="41" t="n">
        <f aca="false">J6*Assumptions!$B$35</f>
        <v>11992</v>
      </c>
      <c r="K24" s="41" t="n">
        <f aca="false">K6*Assumptions!$B$35</f>
        <v>11992</v>
      </c>
      <c r="L24" s="41" t="n">
        <f aca="false">L6*Assumptions!$B$35</f>
        <v>11992</v>
      </c>
      <c r="M24" s="41" t="n">
        <f aca="false">M6*Assumptions!$B$35</f>
        <v>11992</v>
      </c>
      <c r="N24" s="41" t="n">
        <f aca="false">N6*Assumptions!$B$35</f>
        <v>11992</v>
      </c>
      <c r="O24" s="41" t="n">
        <f aca="false">O6*Assumptions!$B$35</f>
        <v>11992</v>
      </c>
      <c r="P24" s="41" t="n">
        <f aca="false">P6*Assumptions!$B$35</f>
        <v>11992</v>
      </c>
      <c r="Q24" s="41" t="n">
        <f aca="false">Q6*Assumptions!$B$35</f>
        <v>11992</v>
      </c>
      <c r="R24" s="41" t="n">
        <f aca="false">R6*Assumptions!$B$35</f>
        <v>11992</v>
      </c>
      <c r="S24" s="41" t="n">
        <f aca="false">S6*Assumptions!$B$35</f>
        <v>11992</v>
      </c>
      <c r="T24" s="42" t="n">
        <f aca="false">SUM(B24:S24)</f>
        <v>203356</v>
      </c>
    </row>
    <row r="25" customFormat="false" ht="15" hidden="false" customHeight="false" outlineLevel="0" collapsed="false">
      <c r="A25" s="7" t="s">
        <v>166</v>
      </c>
      <c r="B25" s="41" t="n">
        <f aca="false">(B10+B11)*Assumptions!$D$41</f>
        <v>0</v>
      </c>
      <c r="C25" s="41" t="n">
        <f aca="false">(C10+C11)*Assumptions!$D$41</f>
        <v>0</v>
      </c>
      <c r="D25" s="41" t="n">
        <f aca="false">(D10+D11)*Assumptions!$D$41</f>
        <v>0</v>
      </c>
      <c r="E25" s="41" t="n">
        <f aca="false">(E10+E11)*Assumptions!$D$41</f>
        <v>5094</v>
      </c>
      <c r="F25" s="41" t="n">
        <f aca="false">(F10+F11)*Assumptions!$D$41</f>
        <v>10188</v>
      </c>
      <c r="G25" s="41" t="n">
        <f aca="false">(G10+G11)*Assumptions!$D$41</f>
        <v>20376</v>
      </c>
      <c r="H25" s="41" t="n">
        <f aca="false">(H10+H11)*Assumptions!$D$41</f>
        <v>30564</v>
      </c>
      <c r="I25" s="41" t="n">
        <f aca="false">(I10+I11)*Assumptions!$D$41</f>
        <v>40752</v>
      </c>
      <c r="J25" s="41" t="n">
        <f aca="false">(J10+J11)*Assumptions!$D$41</f>
        <v>40752</v>
      </c>
      <c r="K25" s="41" t="n">
        <f aca="false">(K10+K11)*Assumptions!$D$41</f>
        <v>40752</v>
      </c>
      <c r="L25" s="41" t="n">
        <f aca="false">(L10+L11)*Assumptions!$D$41</f>
        <v>40752</v>
      </c>
      <c r="M25" s="41" t="n">
        <f aca="false">(M10+M11)*Assumptions!$D$41</f>
        <v>40752</v>
      </c>
      <c r="N25" s="41" t="n">
        <f aca="false">(N10+N11)*Assumptions!$D$41</f>
        <v>40752</v>
      </c>
      <c r="O25" s="41" t="n">
        <f aca="false">(O10+O11)*Assumptions!$D$41</f>
        <v>40752</v>
      </c>
      <c r="P25" s="41" t="n">
        <f aca="false">(P10+P11)*Assumptions!$D$41</f>
        <v>40752</v>
      </c>
      <c r="Q25" s="41" t="n">
        <f aca="false">(Q10+Q11)*Assumptions!$D$41</f>
        <v>40752</v>
      </c>
      <c r="R25" s="41" t="n">
        <f aca="false">(R10+R11)*Assumptions!$D$41</f>
        <v>40752</v>
      </c>
      <c r="S25" s="41" t="n">
        <f aca="false">(S10+S11)*Assumptions!$D$41</f>
        <v>40752</v>
      </c>
    </row>
    <row r="26" customFormat="false" ht="15" hidden="false" customHeight="false" outlineLevel="0" collapsed="false">
      <c r="A26" s="7" t="s">
        <v>167</v>
      </c>
      <c r="B26" s="41" t="n">
        <f aca="false">(B12+B13)*Assumptions!$D$42</f>
        <v>0</v>
      </c>
      <c r="C26" s="41" t="n">
        <f aca="false">(C12+C13)*Assumptions!$D$42</f>
        <v>0</v>
      </c>
      <c r="D26" s="41" t="n">
        <f aca="false">(D12+D13)*Assumptions!$D$42</f>
        <v>0</v>
      </c>
      <c r="E26" s="41" t="n">
        <f aca="false">(E12+E13)*Assumptions!$D$42</f>
        <v>0</v>
      </c>
      <c r="F26" s="41" t="n">
        <f aca="false">(F12+F13)*Assumptions!$D$42</f>
        <v>0</v>
      </c>
      <c r="G26" s="41" t="n">
        <f aca="false">(G12+G13)*Assumptions!$D$42</f>
        <v>0</v>
      </c>
      <c r="H26" s="41" t="n">
        <f aca="false">(H12+H13)*Assumptions!$D$42</f>
        <v>0</v>
      </c>
      <c r="I26" s="41" t="n">
        <f aca="false">(I12+I13)*Assumptions!$D$42</f>
        <v>0</v>
      </c>
      <c r="J26" s="41" t="n">
        <f aca="false">(J12+J13)*Assumptions!$D$42</f>
        <v>13244.4</v>
      </c>
      <c r="K26" s="41" t="n">
        <f aca="false">(K12+K13)*Assumptions!$D$42</f>
        <v>26488.8</v>
      </c>
      <c r="L26" s="41" t="n">
        <f aca="false">(L12+L13)*Assumptions!$D$42</f>
        <v>39733.2</v>
      </c>
      <c r="M26" s="41" t="n">
        <f aca="false">(M12+M13)*Assumptions!$D$42</f>
        <v>52977.6</v>
      </c>
      <c r="N26" s="41" t="n">
        <f aca="false">(N12+N13)*Assumptions!$D$42</f>
        <v>66222</v>
      </c>
      <c r="O26" s="41" t="n">
        <f aca="false">(O12+O13)*Assumptions!$D$42</f>
        <v>79466.4</v>
      </c>
      <c r="P26" s="41" t="n">
        <f aca="false">(P12+P13)*Assumptions!$D$42</f>
        <v>92710.8</v>
      </c>
      <c r="Q26" s="41" t="n">
        <f aca="false">(Q12+Q13)*Assumptions!$D$42</f>
        <v>105955.2</v>
      </c>
      <c r="R26" s="41" t="n">
        <f aca="false">(R12+R13)*Assumptions!$D$42</f>
        <v>119199.6</v>
      </c>
      <c r="S26" s="41" t="n">
        <f aca="false">(S12+S13)*Assumptions!$D$42</f>
        <v>132444</v>
      </c>
    </row>
    <row r="27" customFormat="false" ht="15" hidden="false" customHeight="false" outlineLevel="0" collapsed="false">
      <c r="A27" s="16" t="s">
        <v>168</v>
      </c>
      <c r="B27" s="42" t="n">
        <f aca="false">B25+B26</f>
        <v>0</v>
      </c>
      <c r="C27" s="42" t="n">
        <f aca="false">C25+C26</f>
        <v>0</v>
      </c>
      <c r="D27" s="42" t="n">
        <f aca="false">D25+D26</f>
        <v>0</v>
      </c>
      <c r="E27" s="42" t="n">
        <f aca="false">E25+E26</f>
        <v>5094</v>
      </c>
      <c r="F27" s="42" t="n">
        <f aca="false">F25+F26</f>
        <v>10188</v>
      </c>
      <c r="G27" s="42" t="n">
        <f aca="false">G25+G26</f>
        <v>20376</v>
      </c>
      <c r="H27" s="42" t="n">
        <f aca="false">H25+H26</f>
        <v>30564</v>
      </c>
      <c r="I27" s="42" t="n">
        <f aca="false">I25+I26</f>
        <v>40752</v>
      </c>
      <c r="J27" s="42" t="n">
        <f aca="false">J25+J26</f>
        <v>53996.4</v>
      </c>
      <c r="K27" s="42" t="n">
        <f aca="false">K25+K26</f>
        <v>67240.8</v>
      </c>
      <c r="L27" s="42" t="n">
        <f aca="false">L25+L26</f>
        <v>80485.2</v>
      </c>
      <c r="M27" s="42" t="n">
        <f aca="false">M25+M26</f>
        <v>93729.6</v>
      </c>
      <c r="N27" s="42" t="n">
        <f aca="false">N25+N26</f>
        <v>106974</v>
      </c>
      <c r="O27" s="42" t="n">
        <f aca="false">O25+O26</f>
        <v>120218.4</v>
      </c>
      <c r="P27" s="42" t="n">
        <f aca="false">P25+P26</f>
        <v>133462.8</v>
      </c>
      <c r="Q27" s="42" t="n">
        <f aca="false">Q25+Q26</f>
        <v>146707.2</v>
      </c>
      <c r="R27" s="42" t="n">
        <f aca="false">R25+R26</f>
        <v>159951.6</v>
      </c>
      <c r="S27" s="42" t="n">
        <f aca="false">S25+S26</f>
        <v>173196</v>
      </c>
      <c r="T27" s="42" t="n">
        <f aca="false">SUM(B27:S27)</f>
        <v>1242936</v>
      </c>
    </row>
    <row r="28" customFormat="false" ht="15" hidden="false" customHeight="false" outlineLevel="0" collapsed="false">
      <c r="A28" s="16" t="s">
        <v>169</v>
      </c>
      <c r="B28" s="41" t="n">
        <f aca="false">B20*Assumptions!$B$46</f>
        <v>0</v>
      </c>
      <c r="C28" s="41" t="n">
        <f aca="false">C20*Assumptions!$B$46</f>
        <v>0</v>
      </c>
      <c r="D28" s="41" t="n">
        <f aca="false">D20*Assumptions!$B$46</f>
        <v>0</v>
      </c>
      <c r="E28" s="41" t="n">
        <f aca="false">E20*Assumptions!$B$46</f>
        <v>0</v>
      </c>
      <c r="F28" s="41" t="n">
        <f aca="false">F20*Assumptions!$B$46</f>
        <v>0</v>
      </c>
      <c r="G28" s="41" t="n">
        <f aca="false">G20*Assumptions!$B$46</f>
        <v>3.5568</v>
      </c>
      <c r="H28" s="41" t="n">
        <f aca="false">H20*Assumptions!$B$46</f>
        <v>10.6704</v>
      </c>
      <c r="I28" s="41" t="n">
        <f aca="false">I20*Assumptions!$B$46</f>
        <v>24.8976</v>
      </c>
      <c r="J28" s="41" t="n">
        <f aca="false">J20*Assumptions!$B$46</f>
        <v>46.2384</v>
      </c>
      <c r="K28" s="41" t="n">
        <f aca="false">K20*Assumptions!$B$46</f>
        <v>74.6928</v>
      </c>
      <c r="L28" s="41" t="n">
        <f aca="false">L20*Assumptions!$B$46</f>
        <v>113.8176</v>
      </c>
      <c r="M28" s="41" t="n">
        <f aca="false">M20*Assumptions!$B$46</f>
        <v>163.6128</v>
      </c>
      <c r="N28" s="41" t="n">
        <f aca="false">N20*Assumptions!$B$46</f>
        <v>224.0784</v>
      </c>
      <c r="O28" s="41" t="n">
        <f aca="false">O20*Assumptions!$B$46</f>
        <v>295.2144</v>
      </c>
      <c r="P28" s="41" t="n">
        <f aca="false">P20*Assumptions!$B$46</f>
        <v>377.0208</v>
      </c>
      <c r="Q28" s="41" t="n">
        <f aca="false">Q20*Assumptions!$B$46</f>
        <v>469.4976</v>
      </c>
      <c r="R28" s="41" t="n">
        <f aca="false">R20*Assumptions!$B$46</f>
        <v>572.6448</v>
      </c>
      <c r="S28" s="41" t="n">
        <f aca="false">S20*Assumptions!$B$46</f>
        <v>686.4624</v>
      </c>
      <c r="T28" s="42" t="n">
        <f aca="false">SUM(B28:S28)</f>
        <v>3062.4048</v>
      </c>
    </row>
    <row r="30" customFormat="false" ht="15" hidden="false" customHeight="false" outlineLevel="0" collapsed="false">
      <c r="A30" s="43" t="s">
        <v>170</v>
      </c>
      <c r="B30" s="44" t="n">
        <f aca="false">B24+B27+B28</f>
        <v>7992</v>
      </c>
      <c r="C30" s="44" t="n">
        <f aca="false">C24+C27+C28</f>
        <v>7992</v>
      </c>
      <c r="D30" s="44" t="n">
        <f aca="false">D24+D27+D28</f>
        <v>7992</v>
      </c>
      <c r="E30" s="44" t="n">
        <f aca="false">E24+E27+E28</f>
        <v>16586</v>
      </c>
      <c r="F30" s="44" t="n">
        <f aca="false">F24+F27+F28</f>
        <v>22180</v>
      </c>
      <c r="G30" s="44" t="n">
        <f aca="false">G24+G27+G28</f>
        <v>32371.5568</v>
      </c>
      <c r="H30" s="44" t="n">
        <f aca="false">H24+H27+H28</f>
        <v>42566.6704</v>
      </c>
      <c r="I30" s="44" t="n">
        <f aca="false">I24+I27+I28</f>
        <v>52768.8976</v>
      </c>
      <c r="J30" s="44" t="n">
        <f aca="false">J24+J27+J28</f>
        <v>66034.6384</v>
      </c>
      <c r="K30" s="44" t="n">
        <f aca="false">K24+K27+K28</f>
        <v>79307.4928</v>
      </c>
      <c r="L30" s="44" t="n">
        <f aca="false">L24+L27+L28</f>
        <v>92591.0176</v>
      </c>
      <c r="M30" s="44" t="n">
        <f aca="false">M24+M27+M28</f>
        <v>105885.2128</v>
      </c>
      <c r="N30" s="44" t="n">
        <f aca="false">N24+N27+N28</f>
        <v>119190.0784</v>
      </c>
      <c r="O30" s="44" t="n">
        <f aca="false">O24+O27+O28</f>
        <v>132505.6144</v>
      </c>
      <c r="P30" s="44" t="n">
        <f aca="false">P24+P27+P28</f>
        <v>145831.8208</v>
      </c>
      <c r="Q30" s="44" t="n">
        <f aca="false">Q24+Q27+Q28</f>
        <v>159168.6976</v>
      </c>
      <c r="R30" s="44" t="n">
        <f aca="false">R24+R27+R28</f>
        <v>172516.2448</v>
      </c>
      <c r="S30" s="44" t="n">
        <f aca="false">S24+S27+S28</f>
        <v>185874.4624</v>
      </c>
      <c r="T30" s="44" t="n">
        <f aca="false">SUM(B30:S30)</f>
        <v>1449354.4048</v>
      </c>
    </row>
    <row r="32" customFormat="false" ht="15" hidden="false" customHeight="false" outlineLevel="0" collapsed="false">
      <c r="A32" s="4" t="s">
        <v>171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customFormat="false" ht="15" hidden="false" customHeight="false" outlineLevel="0" collapsed="false">
      <c r="A33" s="7" t="s">
        <v>172</v>
      </c>
      <c r="B33" s="41" t="n">
        <f aca="false">B6*Assumptions!$B$31</f>
        <v>6415.8452</v>
      </c>
      <c r="C33" s="41" t="n">
        <f aca="false">C6*Assumptions!$B$31</f>
        <v>6415.8452</v>
      </c>
      <c r="D33" s="41" t="n">
        <f aca="false">D6*Assumptions!$B$31</f>
        <v>6415.8452</v>
      </c>
      <c r="E33" s="41" t="n">
        <f aca="false">E6*Assumptions!$B$31</f>
        <v>6415.8452</v>
      </c>
      <c r="F33" s="41" t="n">
        <f aca="false">F6*Assumptions!$B$31</f>
        <v>6415.8452</v>
      </c>
      <c r="G33" s="41" t="n">
        <f aca="false">G6*Assumptions!$B$31</f>
        <v>6415.8452</v>
      </c>
      <c r="H33" s="41" t="n">
        <f aca="false">H6*Assumptions!$B$31</f>
        <v>6415.8452</v>
      </c>
      <c r="I33" s="41" t="n">
        <f aca="false">I6*Assumptions!$B$31</f>
        <v>6415.8452</v>
      </c>
      <c r="J33" s="41" t="n">
        <f aca="false">J6*Assumptions!$B$31</f>
        <v>6415.8452</v>
      </c>
      <c r="K33" s="41" t="n">
        <f aca="false">K6*Assumptions!$B$31</f>
        <v>6415.8452</v>
      </c>
      <c r="L33" s="41" t="n">
        <f aca="false">L6*Assumptions!$B$31</f>
        <v>6415.8452</v>
      </c>
      <c r="M33" s="41" t="n">
        <f aca="false">M6*Assumptions!$B$31</f>
        <v>6415.8452</v>
      </c>
      <c r="N33" s="41" t="n">
        <f aca="false">N6*Assumptions!$B$31</f>
        <v>6415.8452</v>
      </c>
      <c r="O33" s="41" t="n">
        <f aca="false">O6*Assumptions!$B$31</f>
        <v>6415.8452</v>
      </c>
      <c r="P33" s="41" t="n">
        <f aca="false">P6*Assumptions!$B$31</f>
        <v>6415.8452</v>
      </c>
      <c r="Q33" s="41" t="n">
        <f aca="false">Q6*Assumptions!$B$31</f>
        <v>6415.8452</v>
      </c>
      <c r="R33" s="41" t="n">
        <f aca="false">R6*Assumptions!$B$31</f>
        <v>6415.8452</v>
      </c>
      <c r="S33" s="41" t="n">
        <f aca="false">S6*Assumptions!$B$31</f>
        <v>6415.8452</v>
      </c>
      <c r="T33" s="45" t="n">
        <f aca="false">SUM(B33:S33)</f>
        <v>115485.2136</v>
      </c>
    </row>
    <row r="34" customFormat="false" ht="15" hidden="false" customHeight="false" outlineLevel="0" collapsed="false">
      <c r="A34" s="7" t="s">
        <v>173</v>
      </c>
      <c r="B34" s="41" t="n">
        <f aca="false">B14*Assumptions!$B$30</f>
        <v>0</v>
      </c>
      <c r="C34" s="41" t="n">
        <f aca="false">C14*Assumptions!$B$30</f>
        <v>0</v>
      </c>
      <c r="D34" s="41" t="n">
        <f aca="false">D14*Assumptions!$B$30</f>
        <v>0</v>
      </c>
      <c r="E34" s="41" t="n">
        <f aca="false">E14*Assumptions!$B$30</f>
        <v>2000.672</v>
      </c>
      <c r="F34" s="41" t="n">
        <f aca="false">F14*Assumptions!$B$30</f>
        <v>4001.344</v>
      </c>
      <c r="G34" s="41" t="n">
        <f aca="false">G14*Assumptions!$B$30</f>
        <v>8002.688</v>
      </c>
      <c r="H34" s="41" t="n">
        <f aca="false">H14*Assumptions!$B$30</f>
        <v>12004.032</v>
      </c>
      <c r="I34" s="41" t="n">
        <f aca="false">I14*Assumptions!$B$30</f>
        <v>16005.376</v>
      </c>
      <c r="J34" s="41" t="n">
        <f aca="false">J14*Assumptions!$B$30</f>
        <v>22007.392</v>
      </c>
      <c r="K34" s="41" t="n">
        <f aca="false">K14*Assumptions!$B$30</f>
        <v>28009.408</v>
      </c>
      <c r="L34" s="41" t="n">
        <f aca="false">L14*Assumptions!$B$30</f>
        <v>34011.424</v>
      </c>
      <c r="M34" s="41" t="n">
        <f aca="false">M14*Assumptions!$B$30</f>
        <v>40013.44</v>
      </c>
      <c r="N34" s="41" t="n">
        <f aca="false">N14*Assumptions!$B$30</f>
        <v>46015.456</v>
      </c>
      <c r="O34" s="41" t="n">
        <f aca="false">O14*Assumptions!$B$30</f>
        <v>52017.472</v>
      </c>
      <c r="P34" s="41" t="n">
        <f aca="false">P14*Assumptions!$B$30</f>
        <v>58019.488</v>
      </c>
      <c r="Q34" s="41" t="n">
        <f aca="false">Q14*Assumptions!$B$30</f>
        <v>64021.504</v>
      </c>
      <c r="R34" s="41" t="n">
        <f aca="false">R14*Assumptions!$B$30</f>
        <v>70023.52</v>
      </c>
      <c r="S34" s="41" t="n">
        <f aca="false">S14*Assumptions!$B$30</f>
        <v>76025.536</v>
      </c>
      <c r="T34" s="45" t="n">
        <f aca="false">SUM(B34:S34)</f>
        <v>532178.752</v>
      </c>
    </row>
    <row r="36" customFormat="false" ht="15" hidden="false" customHeight="false" outlineLevel="0" collapsed="false">
      <c r="A36" s="12" t="s">
        <v>174</v>
      </c>
      <c r="B36" s="46" t="n">
        <f aca="false">B33+B34</f>
        <v>6415.8452</v>
      </c>
      <c r="C36" s="46" t="n">
        <f aca="false">C33+C34</f>
        <v>6415.8452</v>
      </c>
      <c r="D36" s="46" t="n">
        <f aca="false">D33+D34</f>
        <v>6415.8452</v>
      </c>
      <c r="E36" s="46" t="n">
        <f aca="false">E33+E34</f>
        <v>8416.5172</v>
      </c>
      <c r="F36" s="46" t="n">
        <f aca="false">F33+F34</f>
        <v>10417.1892</v>
      </c>
      <c r="G36" s="46" t="n">
        <f aca="false">G33+G34</f>
        <v>14418.5332</v>
      </c>
      <c r="H36" s="46" t="n">
        <f aca="false">H33+H34</f>
        <v>18419.8772</v>
      </c>
      <c r="I36" s="46" t="n">
        <f aca="false">I33+I34</f>
        <v>22421.2212</v>
      </c>
      <c r="J36" s="46" t="n">
        <f aca="false">J33+J34</f>
        <v>28423.2372</v>
      </c>
      <c r="K36" s="46" t="n">
        <f aca="false">K33+K34</f>
        <v>34425.2532</v>
      </c>
      <c r="L36" s="46" t="n">
        <f aca="false">L33+L34</f>
        <v>40427.2692</v>
      </c>
      <c r="M36" s="46" t="n">
        <f aca="false">M33+M34</f>
        <v>46429.2852</v>
      </c>
      <c r="N36" s="46" t="n">
        <f aca="false">N33+N34</f>
        <v>52431.3012</v>
      </c>
      <c r="O36" s="46" t="n">
        <f aca="false">O33+O34</f>
        <v>58433.3172</v>
      </c>
      <c r="P36" s="46" t="n">
        <f aca="false">P33+P34</f>
        <v>64435.3332</v>
      </c>
      <c r="Q36" s="46" t="n">
        <f aca="false">Q33+Q34</f>
        <v>70437.3492</v>
      </c>
      <c r="R36" s="46" t="n">
        <f aca="false">R33+R34</f>
        <v>76439.3652</v>
      </c>
      <c r="S36" s="46" t="n">
        <f aca="false">S33+S34</f>
        <v>82441.3812</v>
      </c>
      <c r="T36" s="46" t="n">
        <f aca="false">SUM(B36:S36)</f>
        <v>647663.9656</v>
      </c>
    </row>
    <row r="38" customFormat="false" ht="15" hidden="false" customHeight="false" outlineLevel="0" collapsed="false">
      <c r="A38" s="47" t="s">
        <v>175</v>
      </c>
      <c r="B38" s="48" t="n">
        <f aca="false">B30-B36</f>
        <v>1576.1548</v>
      </c>
      <c r="C38" s="48" t="n">
        <f aca="false">C30-C36</f>
        <v>1576.1548</v>
      </c>
      <c r="D38" s="48" t="n">
        <f aca="false">D30-D36</f>
        <v>1576.1548</v>
      </c>
      <c r="E38" s="48" t="n">
        <f aca="false">E30-E36</f>
        <v>8169.4828</v>
      </c>
      <c r="F38" s="48" t="n">
        <f aca="false">F30-F36</f>
        <v>11762.8108</v>
      </c>
      <c r="G38" s="48" t="n">
        <f aca="false">G30-G36</f>
        <v>17953.0236</v>
      </c>
      <c r="H38" s="48" t="n">
        <f aca="false">H30-H36</f>
        <v>24146.7932</v>
      </c>
      <c r="I38" s="48" t="n">
        <f aca="false">I30-I36</f>
        <v>30347.6764</v>
      </c>
      <c r="J38" s="48" t="n">
        <f aca="false">J30-J36</f>
        <v>37611.4012</v>
      </c>
      <c r="K38" s="48" t="n">
        <f aca="false">K30-K36</f>
        <v>44882.2396</v>
      </c>
      <c r="L38" s="48" t="n">
        <f aca="false">L30-L36</f>
        <v>52163.7484</v>
      </c>
      <c r="M38" s="48" t="n">
        <f aca="false">M30-M36</f>
        <v>59455.9276</v>
      </c>
      <c r="N38" s="48" t="n">
        <f aca="false">N30-N36</f>
        <v>66758.7772</v>
      </c>
      <c r="O38" s="48" t="n">
        <f aca="false">O30-O36</f>
        <v>74072.2972</v>
      </c>
      <c r="P38" s="48" t="n">
        <f aca="false">P30-P36</f>
        <v>81396.4876</v>
      </c>
      <c r="Q38" s="48" t="n">
        <f aca="false">Q30-Q36</f>
        <v>88731.3484</v>
      </c>
      <c r="R38" s="48" t="n">
        <f aca="false">R30-R36</f>
        <v>96076.8796</v>
      </c>
      <c r="S38" s="48" t="n">
        <f aca="false">S30-S36</f>
        <v>103433.0812</v>
      </c>
      <c r="T38" s="48" t="n">
        <f aca="false">SUM(B38:S38)</f>
        <v>801690.4392</v>
      </c>
    </row>
    <row r="39" customFormat="false" ht="15" hidden="false" customHeight="false" outlineLevel="0" collapsed="false">
      <c r="A39" s="7" t="s">
        <v>176</v>
      </c>
      <c r="B39" s="49" t="n">
        <f aca="false">IF(B30&gt;0,B38/B30,0)</f>
        <v>0.197216566566567</v>
      </c>
      <c r="C39" s="49" t="n">
        <f aca="false">IF(C30&gt;0,C38/C30,0)</f>
        <v>0.197216566566567</v>
      </c>
      <c r="D39" s="49" t="n">
        <f aca="false">IF(D30&gt;0,D38/D30,0)</f>
        <v>0.197216566566567</v>
      </c>
      <c r="E39" s="49" t="n">
        <f aca="false">IF(E30&gt;0,E38/E30,0)</f>
        <v>0.4925529241529</v>
      </c>
      <c r="F39" s="49" t="n">
        <f aca="false">IF(F30&gt;0,F38/F30,0)</f>
        <v>0.530334120829576</v>
      </c>
      <c r="G39" s="49" t="n">
        <f aca="false">IF(G30&gt;0,G38/G30,0)</f>
        <v>0.55459253044018</v>
      </c>
      <c r="H39" s="49" t="n">
        <f aca="false">IF(H30&gt;0,H38/H30,0)</f>
        <v>0.567269954945783</v>
      </c>
      <c r="I39" s="49" t="n">
        <f aca="false">IF(I30&gt;0,I38/I30,0)</f>
        <v>0.575105370402887</v>
      </c>
      <c r="J39" s="49" t="n">
        <f aca="false">IF(J30&gt;0,J38/J30,0)</f>
        <v>0.569570790592835</v>
      </c>
      <c r="K39" s="49" t="n">
        <f aca="false">IF(K30&gt;0,K38/K30,0)</f>
        <v>0.565926850230726</v>
      </c>
      <c r="L39" s="49" t="n">
        <f aca="false">IF(L30&gt;0,L38/L30,0)</f>
        <v>0.563378065735828</v>
      </c>
      <c r="M39" s="49" t="n">
        <f aca="false">IF(M30&gt;0,M38/M30,0)</f>
        <v>0.561513038768715</v>
      </c>
      <c r="N39" s="49" t="n">
        <f aca="false">IF(N30&gt;0,N38/N30,0)</f>
        <v>0.560103475861125</v>
      </c>
      <c r="O39" s="49" t="n">
        <f aca="false">IF(O30&gt;0,O38/O30,0)</f>
        <v>0.559012518340506</v>
      </c>
      <c r="P39" s="49" t="n">
        <f aca="false">IF(P30&gt;0,P38/P30,0)</f>
        <v>0.558153132515781</v>
      </c>
      <c r="Q39" s="49" t="n">
        <f aca="false">IF(Q30&gt;0,Q38/Q30,0)</f>
        <v>0.557467327043078</v>
      </c>
      <c r="R39" s="49" t="n">
        <f aca="false">IF(R30&gt;0,R38/R30,0)</f>
        <v>0.55691497175459</v>
      </c>
      <c r="S39" s="49" t="n">
        <f aca="false">IF(S30&gt;0,S38/S30,0)</f>
        <v>0.556467412814424</v>
      </c>
      <c r="T39" s="50" t="n">
        <f aca="false">IF(T30&gt;0,T38/T30,0)</f>
        <v>0.55313623537828</v>
      </c>
    </row>
    <row r="41" customFormat="false" ht="15" hidden="false" customHeight="false" outlineLevel="0" collapsed="false">
      <c r="A41" s="4" t="s">
        <v>177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customFormat="false" ht="15" hidden="false" customHeight="false" outlineLevel="0" collapsed="false">
      <c r="A42" s="7" t="s">
        <v>178</v>
      </c>
      <c r="B42" s="51" t="n">
        <f aca="false">Assumptions!$B$85</f>
        <v>13750</v>
      </c>
      <c r="C42" s="51" t="n">
        <f aca="false">Assumptions!$B$85</f>
        <v>13750</v>
      </c>
      <c r="D42" s="51" t="n">
        <f aca="false">Assumptions!$B$85</f>
        <v>13750</v>
      </c>
      <c r="E42" s="51" t="n">
        <f aca="false">Assumptions!$B$85</f>
        <v>13750</v>
      </c>
      <c r="F42" s="51" t="n">
        <f aca="false">Assumptions!$B$85</f>
        <v>13750</v>
      </c>
      <c r="G42" s="51" t="n">
        <f aca="false">Assumptions!$B$85</f>
        <v>13750</v>
      </c>
      <c r="H42" s="51" t="n">
        <f aca="false">Assumptions!$C$85</f>
        <v>17350</v>
      </c>
      <c r="I42" s="51" t="n">
        <f aca="false">Assumptions!$C$85</f>
        <v>17350</v>
      </c>
      <c r="J42" s="51" t="n">
        <f aca="false">Assumptions!$C$85</f>
        <v>17350</v>
      </c>
      <c r="K42" s="51" t="n">
        <f aca="false">Assumptions!$C$85</f>
        <v>17350</v>
      </c>
      <c r="L42" s="51" t="n">
        <f aca="false">Assumptions!$C$85</f>
        <v>17350</v>
      </c>
      <c r="M42" s="51" t="n">
        <f aca="false">Assumptions!$C$85</f>
        <v>17350</v>
      </c>
      <c r="N42" s="51" t="n">
        <f aca="false">Assumptions!$D$85</f>
        <v>21000</v>
      </c>
      <c r="O42" s="51" t="n">
        <f aca="false">Assumptions!$D$85</f>
        <v>21000</v>
      </c>
      <c r="P42" s="51" t="n">
        <f aca="false">Assumptions!$D$85</f>
        <v>21000</v>
      </c>
      <c r="Q42" s="51" t="n">
        <f aca="false">Assumptions!$D$85</f>
        <v>21000</v>
      </c>
      <c r="R42" s="51" t="n">
        <f aca="false">Assumptions!$D$85</f>
        <v>21000</v>
      </c>
      <c r="S42" s="51" t="n">
        <f aca="false">Assumptions!$D$85</f>
        <v>21000</v>
      </c>
      <c r="T42" s="42" t="n">
        <f aca="false">SUM(B42:S42)</f>
        <v>312600</v>
      </c>
    </row>
    <row r="44" customFormat="false" ht="15" hidden="false" customHeight="false" outlineLevel="0" collapsed="false">
      <c r="A44" s="52" t="s">
        <v>179</v>
      </c>
      <c r="B44" s="53" t="n">
        <f aca="false">B38-B42</f>
        <v>-12173.8452</v>
      </c>
      <c r="C44" s="53" t="n">
        <f aca="false">C38-C42</f>
        <v>-12173.8452</v>
      </c>
      <c r="D44" s="53" t="n">
        <f aca="false">D38-D42</f>
        <v>-12173.8452</v>
      </c>
      <c r="E44" s="53" t="n">
        <f aca="false">E38-E42</f>
        <v>-5580.5172</v>
      </c>
      <c r="F44" s="53" t="n">
        <f aca="false">F38-F42</f>
        <v>-1987.1892</v>
      </c>
      <c r="G44" s="53" t="n">
        <f aca="false">G38-G42</f>
        <v>4203.0236</v>
      </c>
      <c r="H44" s="53" t="n">
        <f aca="false">H38-H42</f>
        <v>6796.7932</v>
      </c>
      <c r="I44" s="53" t="n">
        <f aca="false">I38-I42</f>
        <v>12997.6764</v>
      </c>
      <c r="J44" s="53" t="n">
        <f aca="false">J38-J42</f>
        <v>20261.4012</v>
      </c>
      <c r="K44" s="53" t="n">
        <f aca="false">K38-K42</f>
        <v>27532.2396</v>
      </c>
      <c r="L44" s="53" t="n">
        <f aca="false">L38-L42</f>
        <v>34813.7484</v>
      </c>
      <c r="M44" s="53" t="n">
        <f aca="false">M38-M42</f>
        <v>42105.9276</v>
      </c>
      <c r="N44" s="53" t="n">
        <f aca="false">N38-N42</f>
        <v>45758.7772</v>
      </c>
      <c r="O44" s="53" t="n">
        <f aca="false">O38-O42</f>
        <v>53072.2972</v>
      </c>
      <c r="P44" s="53" t="n">
        <f aca="false">P38-P42</f>
        <v>60396.4876</v>
      </c>
      <c r="Q44" s="53" t="n">
        <f aca="false">Q38-Q42</f>
        <v>67731.3484</v>
      </c>
      <c r="R44" s="53" t="n">
        <f aca="false">R38-R42</f>
        <v>75076.8796</v>
      </c>
      <c r="S44" s="53" t="n">
        <f aca="false">S38-S42</f>
        <v>82433.0812</v>
      </c>
      <c r="T44" s="53" t="n">
        <f aca="false">SUM(B44:S44)</f>
        <v>489090.4392</v>
      </c>
    </row>
    <row r="45" customFormat="false" ht="15" hidden="false" customHeight="false" outlineLevel="0" collapsed="false">
      <c r="A45" s="7" t="s">
        <v>180</v>
      </c>
      <c r="B45" s="54" t="n">
        <f aca="false">IF(B30&gt;0,B44/B30,0)</f>
        <v>-1.5232539039039</v>
      </c>
      <c r="C45" s="54" t="n">
        <f aca="false">IF(C30&gt;0,C44/C30,0)</f>
        <v>-1.5232539039039</v>
      </c>
      <c r="D45" s="54" t="n">
        <f aca="false">IF(D30&gt;0,D44/D30,0)</f>
        <v>-1.5232539039039</v>
      </c>
      <c r="E45" s="54" t="n">
        <f aca="false">IF(E30&gt;0,E44/E30,0)</f>
        <v>-0.336459495960449</v>
      </c>
      <c r="F45" s="54" t="n">
        <f aca="false">IF(F30&gt;0,F44/F30,0)</f>
        <v>-0.0895937421100091</v>
      </c>
      <c r="G45" s="54" t="n">
        <f aca="false">IF(G30&gt;0,G44/G30,0)</f>
        <v>0.129836931413815</v>
      </c>
      <c r="H45" s="54" t="n">
        <f aca="false">IF(H30&gt;0,H44/H30,0)</f>
        <v>0.159674062738062</v>
      </c>
      <c r="I45" s="54" t="n">
        <f aca="false">IF(I30&gt;0,I44/I30,0)</f>
        <v>0.246313207043385</v>
      </c>
      <c r="J45" s="54" t="n">
        <f aca="false">IF(J30&gt;0,J44/J30,0)</f>
        <v>0.306829895505266</v>
      </c>
      <c r="K45" s="54" t="n">
        <f aca="false">IF(K30&gt;0,K44/K30,0)</f>
        <v>0.347158113665649</v>
      </c>
      <c r="L45" s="54" t="n">
        <f aca="false">IF(L30&gt;0,L44/L30,0)</f>
        <v>0.375994878362801</v>
      </c>
      <c r="M45" s="54" t="n">
        <f aca="false">IF(M30&gt;0,M44/M30,0)</f>
        <v>0.397656353390263</v>
      </c>
      <c r="N45" s="54" t="n">
        <f aca="false">IF(N30&gt;0,N44/N30,0)</f>
        <v>0.38391431412969</v>
      </c>
      <c r="O45" s="54" t="n">
        <f aca="false">IF(O30&gt;0,O44/O30,0)</f>
        <v>0.40052866771206</v>
      </c>
      <c r="P45" s="54" t="n">
        <f aca="false">IF(P30&gt;0,P44/P30,0)</f>
        <v>0.414151638981662</v>
      </c>
      <c r="Q45" s="54" t="n">
        <f aca="false">IF(Q30&gt;0,Q44/Q30,0)</f>
        <v>0.425531837737422</v>
      </c>
      <c r="R45" s="54" t="n">
        <f aca="false">IF(R30&gt;0,R44/R30,0)</f>
        <v>0.435187304749402</v>
      </c>
      <c r="S45" s="54" t="n">
        <f aca="false">IF(S30&gt;0,S44/S30,0)</f>
        <v>0.443487933391327</v>
      </c>
      <c r="T45" s="55" t="n">
        <f aca="false">IF(T30&gt;0,T44/T30,0)</f>
        <v>0.337453998539088</v>
      </c>
    </row>
    <row r="47" customFormat="false" ht="15" hidden="false" customHeight="false" outlineLevel="0" collapsed="false">
      <c r="A47" s="4" t="s">
        <v>181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customFormat="false" ht="15" hidden="false" customHeight="false" outlineLevel="0" collapsed="false">
      <c r="A48" s="16" t="s">
        <v>182</v>
      </c>
      <c r="B48" s="56" t="n">
        <f aca="false">B44</f>
        <v>-12173.8452</v>
      </c>
      <c r="C48" s="56" t="n">
        <f aca="false">B48+C44</f>
        <v>-24347.6904</v>
      </c>
      <c r="D48" s="56" t="n">
        <f aca="false">C48+D44</f>
        <v>-36521.5356</v>
      </c>
      <c r="E48" s="56" t="n">
        <f aca="false">D48+E44</f>
        <v>-42102.0528</v>
      </c>
      <c r="F48" s="56" t="n">
        <f aca="false">E48+F44</f>
        <v>-44089.242</v>
      </c>
      <c r="G48" s="56" t="n">
        <f aca="false">F48+G44</f>
        <v>-39886.2184</v>
      </c>
      <c r="H48" s="56" t="n">
        <f aca="false">G48+H44</f>
        <v>-33089.4252</v>
      </c>
      <c r="I48" s="56" t="n">
        <f aca="false">H48+I44</f>
        <v>-20091.7488</v>
      </c>
      <c r="J48" s="56" t="n">
        <f aca="false">I48+J44</f>
        <v>169.652399999992</v>
      </c>
      <c r="K48" s="56" t="n">
        <f aca="false">J48+K44</f>
        <v>27701.892</v>
      </c>
      <c r="L48" s="56" t="n">
        <f aca="false">K48+L44</f>
        <v>62515.6404</v>
      </c>
      <c r="M48" s="56" t="n">
        <f aca="false">L48+M44</f>
        <v>104621.568</v>
      </c>
      <c r="N48" s="56" t="n">
        <f aca="false">M48+N44</f>
        <v>150380.3452</v>
      </c>
      <c r="O48" s="56" t="n">
        <f aca="false">N48+O44</f>
        <v>203452.6424</v>
      </c>
      <c r="P48" s="56" t="n">
        <f aca="false">O48+P44</f>
        <v>263849.13</v>
      </c>
      <c r="Q48" s="56" t="n">
        <f aca="false">P48+Q44</f>
        <v>331580.4784</v>
      </c>
      <c r="R48" s="56" t="n">
        <f aca="false">Q48+R44</f>
        <v>406657.358</v>
      </c>
      <c r="S48" s="56" t="n">
        <f aca="false">R48+S44</f>
        <v>489090.4392</v>
      </c>
    </row>
    <row r="50" customFormat="false" ht="15" hidden="false" customHeight="false" outlineLevel="0" collapsed="false">
      <c r="A50" s="29" t="s">
        <v>183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</row>
    <row r="51" customFormat="false" ht="15" hidden="false" customHeight="false" outlineLevel="0" collapsed="false">
      <c r="A51" s="16" t="s">
        <v>184</v>
      </c>
      <c r="B51" s="42" t="n">
        <f aca="false">S30*12</f>
        <v>2230493.5488</v>
      </c>
    </row>
    <row r="52" customFormat="false" ht="15" hidden="false" customHeight="false" outlineLevel="0" collapsed="false">
      <c r="A52" s="16" t="s">
        <v>185</v>
      </c>
      <c r="B52" s="42" t="n">
        <f aca="false">S38*12</f>
        <v>1241196.9744</v>
      </c>
    </row>
    <row r="53" customFormat="false" ht="15" hidden="false" customHeight="false" outlineLevel="0" collapsed="false">
      <c r="A53" s="16" t="s">
        <v>186</v>
      </c>
      <c r="B53" s="42" t="n">
        <f aca="false">S44*12</f>
        <v>989196.9744</v>
      </c>
    </row>
    <row r="54" customFormat="false" ht="15" hidden="false" customHeight="false" outlineLevel="0" collapsed="false">
      <c r="A54" s="16" t="s">
        <v>187</v>
      </c>
      <c r="B54" s="42" t="n">
        <f aca="false">S28*12</f>
        <v>8237.5488</v>
      </c>
    </row>
    <row r="55" customFormat="false" ht="15" hidden="false" customHeight="false" outlineLevel="0" collapsed="false">
      <c r="A55" s="16" t="s">
        <v>188</v>
      </c>
      <c r="B55" s="35" t="n">
        <f aca="false">S7</f>
        <v>144</v>
      </c>
    </row>
    <row r="56" customFormat="false" ht="15" hidden="false" customHeight="false" outlineLevel="0" collapsed="false">
      <c r="A56" s="16" t="s">
        <v>189</v>
      </c>
      <c r="B56" s="35" t="n">
        <f aca="false">S15</f>
        <v>2128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3" t="s">
        <v>191</v>
      </c>
    </row>
    <row r="3" customFormat="false" ht="15" hidden="false" customHeight="false" outlineLevel="0" collapsed="false">
      <c r="B3" s="57" t="s">
        <v>192</v>
      </c>
      <c r="C3" s="58" t="s">
        <v>193</v>
      </c>
      <c r="D3" s="59" t="s">
        <v>194</v>
      </c>
    </row>
    <row r="5" customFormat="false" ht="15" hidden="false" customHeight="false" outlineLevel="0" collapsed="false">
      <c r="A5" s="4" t="s">
        <v>195</v>
      </c>
      <c r="B5" s="5"/>
      <c r="C5" s="5"/>
      <c r="D5" s="5"/>
    </row>
    <row r="6" customFormat="false" ht="15" hidden="false" customHeight="false" outlineLevel="0" collapsed="false">
      <c r="A6" s="7" t="s">
        <v>196</v>
      </c>
      <c r="B6" s="60" t="n">
        <v>5</v>
      </c>
      <c r="C6" s="60" t="n">
        <v>8</v>
      </c>
      <c r="D6" s="60" t="n">
        <v>12</v>
      </c>
    </row>
    <row r="7" customFormat="false" ht="15" hidden="false" customHeight="false" outlineLevel="0" collapsed="false">
      <c r="A7" s="7" t="s">
        <v>197</v>
      </c>
      <c r="B7" s="60" t="n">
        <v>3</v>
      </c>
      <c r="C7" s="60" t="n">
        <v>3</v>
      </c>
      <c r="D7" s="60" t="n">
        <v>2</v>
      </c>
    </row>
    <row r="8" customFormat="false" ht="15" hidden="false" customHeight="false" outlineLevel="0" collapsed="false">
      <c r="A8" s="7" t="s">
        <v>198</v>
      </c>
      <c r="B8" s="60" t="n">
        <v>3</v>
      </c>
      <c r="C8" s="60" t="n">
        <v>2</v>
      </c>
      <c r="D8" s="60" t="n">
        <v>1</v>
      </c>
    </row>
    <row r="9" customFormat="false" ht="15" hidden="false" customHeight="false" outlineLevel="0" collapsed="false">
      <c r="A9" s="7" t="s">
        <v>199</v>
      </c>
      <c r="B9" s="22" t="s">
        <v>200</v>
      </c>
      <c r="C9" s="22" t="s">
        <v>201</v>
      </c>
      <c r="D9" s="22" t="s">
        <v>202</v>
      </c>
    </row>
    <row r="10" customFormat="false" ht="15" hidden="false" customHeight="false" outlineLevel="0" collapsed="false">
      <c r="A10" s="7" t="s">
        <v>125</v>
      </c>
      <c r="B10" s="15" t="n">
        <v>0.15</v>
      </c>
      <c r="C10" s="15" t="n">
        <v>0.25</v>
      </c>
      <c r="D10" s="15" t="n">
        <v>0.4</v>
      </c>
    </row>
    <row r="11" customFormat="false" ht="15" hidden="false" customHeight="false" outlineLevel="0" collapsed="false">
      <c r="A11" s="7" t="s">
        <v>203</v>
      </c>
      <c r="B11" s="10" t="n">
        <v>0.5</v>
      </c>
      <c r="C11" s="10" t="n">
        <v>0.6</v>
      </c>
      <c r="D11" s="10" t="n">
        <v>0.75</v>
      </c>
    </row>
    <row r="12" customFormat="false" ht="15" hidden="false" customHeight="false" outlineLevel="0" collapsed="false">
      <c r="A12" s="7" t="s">
        <v>204</v>
      </c>
      <c r="B12" s="20" t="n">
        <v>12000</v>
      </c>
      <c r="C12" s="20" t="n">
        <v>13500</v>
      </c>
      <c r="D12" s="20" t="n">
        <v>15000</v>
      </c>
    </row>
    <row r="14" customFormat="false" ht="15" hidden="false" customHeight="false" outlineLevel="0" collapsed="false">
      <c r="A14" s="4" t="s">
        <v>205</v>
      </c>
      <c r="B14" s="5"/>
      <c r="C14" s="5"/>
      <c r="D14" s="5"/>
    </row>
    <row r="15" customFormat="false" ht="15" hidden="false" customHeight="false" outlineLevel="0" collapsed="false">
      <c r="A15" s="7" t="s">
        <v>206</v>
      </c>
      <c r="B15" s="36" t="n">
        <v>90</v>
      </c>
      <c r="C15" s="36" t="n">
        <v>144</v>
      </c>
      <c r="D15" s="36" t="n">
        <v>216</v>
      </c>
    </row>
    <row r="16" customFormat="false" ht="15" hidden="false" customHeight="false" outlineLevel="0" collapsed="false">
      <c r="A16" s="7" t="s">
        <v>207</v>
      </c>
      <c r="B16" s="36" t="n">
        <v>875</v>
      </c>
      <c r="C16" s="36" t="n">
        <v>2128</v>
      </c>
      <c r="D16" s="36" t="n">
        <v>5652</v>
      </c>
    </row>
    <row r="17" customFormat="false" ht="15" hidden="false" customHeight="false" outlineLevel="0" collapsed="false">
      <c r="A17" s="7" t="s">
        <v>208</v>
      </c>
      <c r="B17" s="36" t="n">
        <v>875</v>
      </c>
      <c r="C17" s="36" t="n">
        <v>2128</v>
      </c>
      <c r="D17" s="36" t="n">
        <v>5652</v>
      </c>
    </row>
    <row r="18" customFormat="false" ht="15" hidden="false" customHeight="false" outlineLevel="0" collapsed="false">
      <c r="A18" s="7" t="s">
        <v>209</v>
      </c>
      <c r="B18" s="36" t="n">
        <v>530</v>
      </c>
      <c r="C18" s="36" t="n">
        <v>1544</v>
      </c>
      <c r="D18" s="36" t="n">
        <v>4884</v>
      </c>
    </row>
    <row r="19" customFormat="false" ht="15" hidden="false" customHeight="false" outlineLevel="0" collapsed="false">
      <c r="A19" s="7" t="s">
        <v>210</v>
      </c>
      <c r="B19" s="36" t="n">
        <v>168</v>
      </c>
      <c r="C19" s="36" t="n">
        <v>1033</v>
      </c>
      <c r="D19" s="36" t="n">
        <v>7528</v>
      </c>
    </row>
    <row r="20" customFormat="false" ht="15" hidden="false" customHeight="false" outlineLevel="0" collapsed="false">
      <c r="A20" s="7" t="s">
        <v>211</v>
      </c>
      <c r="B20" s="36" t="n">
        <v>40</v>
      </c>
      <c r="C20" s="36" t="n">
        <v>232</v>
      </c>
      <c r="D20" s="36" t="n">
        <v>1465</v>
      </c>
    </row>
    <row r="21" customFormat="false" ht="15" hidden="false" customHeight="false" outlineLevel="0" collapsed="false">
      <c r="A21" s="7"/>
    </row>
    <row r="22" customFormat="false" ht="15" hidden="false" customHeight="false" outlineLevel="0" collapsed="false">
      <c r="A22" s="7" t="s">
        <v>212</v>
      </c>
      <c r="B22" s="41" t="n">
        <v>122410</v>
      </c>
      <c r="C22" s="41" t="n">
        <v>203356</v>
      </c>
      <c r="D22" s="41" t="n">
        <v>311284</v>
      </c>
    </row>
    <row r="23" customFormat="false" ht="15" hidden="false" customHeight="false" outlineLevel="0" collapsed="false">
      <c r="A23" s="7" t="s">
        <v>213</v>
      </c>
      <c r="B23" s="41" t="n">
        <v>510461</v>
      </c>
      <c r="C23" s="41" t="n">
        <v>1242936</v>
      </c>
      <c r="D23" s="41" t="n">
        <v>3301421</v>
      </c>
    </row>
    <row r="24" customFormat="false" ht="15" hidden="false" customHeight="false" outlineLevel="0" collapsed="false">
      <c r="A24" s="7" t="s">
        <v>214</v>
      </c>
      <c r="B24" s="41" t="n">
        <v>504</v>
      </c>
      <c r="C24" s="41" t="n">
        <v>3100</v>
      </c>
      <c r="D24" s="41" t="n">
        <v>22583</v>
      </c>
    </row>
    <row r="25" customFormat="false" ht="15" hidden="false" customHeight="false" outlineLevel="0" collapsed="false">
      <c r="A25" s="16" t="s">
        <v>170</v>
      </c>
      <c r="B25" s="42" t="n">
        <v>633375</v>
      </c>
      <c r="C25" s="42" t="n">
        <v>1449392</v>
      </c>
      <c r="D25" s="42" t="n">
        <v>3635288</v>
      </c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7" t="s">
        <v>215</v>
      </c>
      <c r="B27" s="41" t="n">
        <v>299575</v>
      </c>
      <c r="C27" s="41" t="n">
        <v>666416</v>
      </c>
      <c r="D27" s="41" t="n">
        <v>1631844</v>
      </c>
    </row>
    <row r="28" customFormat="false" ht="15" hidden="false" customHeight="false" outlineLevel="0" collapsed="false">
      <c r="A28" s="16" t="s">
        <v>175</v>
      </c>
      <c r="B28" s="61" t="n">
        <v>333800</v>
      </c>
      <c r="C28" s="61" t="n">
        <v>782976</v>
      </c>
      <c r="D28" s="61" t="n">
        <v>2003444</v>
      </c>
    </row>
    <row r="29" customFormat="false" ht="15" hidden="false" customHeight="false" outlineLevel="0" collapsed="false">
      <c r="A29" s="7" t="s">
        <v>176</v>
      </c>
      <c r="B29" s="49" t="n">
        <v>0.527018146035861</v>
      </c>
      <c r="C29" s="49" t="n">
        <v>0.540209837010233</v>
      </c>
      <c r="D29" s="49" t="n">
        <v>0.551110143069262</v>
      </c>
    </row>
    <row r="30" customFormat="false" ht="15" hidden="false" customHeight="false" outlineLevel="0" collapsed="false">
      <c r="A30" s="7"/>
    </row>
    <row r="31" customFormat="false" ht="15" hidden="false" customHeight="false" outlineLevel="0" collapsed="false">
      <c r="A31" s="7" t="s">
        <v>216</v>
      </c>
      <c r="B31" s="41" t="n">
        <v>216000</v>
      </c>
      <c r="C31" s="41" t="n">
        <v>243000</v>
      </c>
      <c r="D31" s="41" t="n">
        <v>270000</v>
      </c>
    </row>
    <row r="32" customFormat="false" ht="15" hidden="false" customHeight="false" outlineLevel="0" collapsed="false">
      <c r="A32" s="16" t="s">
        <v>179</v>
      </c>
      <c r="B32" s="62" t="n">
        <v>117800</v>
      </c>
      <c r="C32" s="62" t="n">
        <v>539976</v>
      </c>
      <c r="D32" s="62" t="n">
        <v>1733444</v>
      </c>
    </row>
    <row r="33" customFormat="false" ht="15" hidden="false" customHeight="false" outlineLevel="0" collapsed="false">
      <c r="A33" s="7" t="s">
        <v>180</v>
      </c>
      <c r="B33" s="49" t="n">
        <v>0.185988085262252</v>
      </c>
      <c r="C33" s="49" t="n">
        <v>0.372553283736431</v>
      </c>
      <c r="D33" s="49" t="n">
        <v>0.476838177506807</v>
      </c>
    </row>
    <row r="34" customFormat="false" ht="15" hidden="false" customHeight="false" outlineLevel="0" collapsed="false">
      <c r="A34" s="7"/>
    </row>
    <row r="35" customFormat="false" ht="15" hidden="false" customHeight="false" outlineLevel="0" collapsed="false">
      <c r="A35" s="7" t="s">
        <v>217</v>
      </c>
      <c r="B35" s="41" t="n">
        <v>944616</v>
      </c>
      <c r="C35" s="41" t="n">
        <v>2230594</v>
      </c>
      <c r="D35" s="41" t="n">
        <v>5513386</v>
      </c>
    </row>
    <row r="36" customFormat="false" ht="15" hidden="false" customHeight="false" outlineLevel="0" collapsed="false">
      <c r="A36" s="7" t="s">
        <v>218</v>
      </c>
      <c r="B36" s="63" t="n">
        <v>365316</v>
      </c>
      <c r="C36" s="63" t="n">
        <v>1051378</v>
      </c>
      <c r="D36" s="63" t="n">
        <v>2845354</v>
      </c>
    </row>
    <row r="37" customFormat="false" ht="15" hidden="false" customHeight="false" outlineLevel="0" collapsed="false">
      <c r="A37" s="7" t="s">
        <v>219</v>
      </c>
      <c r="B37" s="36" t="n">
        <v>14</v>
      </c>
      <c r="C37" s="36" t="n">
        <v>9</v>
      </c>
      <c r="D37" s="36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220</v>
      </c>
    </row>
    <row r="3" customFormat="false" ht="15" hidden="false" customHeight="false" outlineLevel="0" collapsed="false">
      <c r="A3" s="4" t="s">
        <v>221</v>
      </c>
      <c r="B3" s="5"/>
      <c r="C3" s="5"/>
      <c r="D3" s="5"/>
    </row>
    <row r="4" customFormat="false" ht="15" hidden="false" customHeight="false" outlineLevel="0" collapsed="false">
      <c r="A4" s="16" t="s">
        <v>222</v>
      </c>
      <c r="B4" s="16" t="s">
        <v>223</v>
      </c>
      <c r="C4" s="16" t="s">
        <v>224</v>
      </c>
      <c r="D4" s="16" t="s">
        <v>225</v>
      </c>
    </row>
    <row r="5" customFormat="false" ht="15" hidden="false" customHeight="false" outlineLevel="0" collapsed="false">
      <c r="A5" s="7" t="s">
        <v>226</v>
      </c>
      <c r="B5" s="20" t="n">
        <v>55000</v>
      </c>
      <c r="C5" s="49" t="n">
        <f aca="false">B5/B12</f>
        <v>0.22</v>
      </c>
      <c r="D5" s="3" t="s">
        <v>227</v>
      </c>
    </row>
    <row r="6" customFormat="false" ht="15" hidden="false" customHeight="false" outlineLevel="0" collapsed="false">
      <c r="A6" s="7" t="s">
        <v>228</v>
      </c>
      <c r="B6" s="20" t="n">
        <v>82500</v>
      </c>
      <c r="C6" s="49" t="n">
        <f aca="false">B6/B12</f>
        <v>0.33</v>
      </c>
      <c r="D6" s="3" t="s">
        <v>229</v>
      </c>
    </row>
    <row r="7" customFormat="false" ht="15" hidden="false" customHeight="false" outlineLevel="0" collapsed="false">
      <c r="A7" s="7" t="s">
        <v>230</v>
      </c>
      <c r="B7" s="20" t="n">
        <v>25000</v>
      </c>
      <c r="C7" s="49" t="n">
        <f aca="false">B7/B12</f>
        <v>0.1</v>
      </c>
      <c r="D7" s="3" t="s">
        <v>231</v>
      </c>
    </row>
    <row r="8" customFormat="false" ht="15" hidden="false" customHeight="false" outlineLevel="0" collapsed="false">
      <c r="A8" s="7" t="s">
        <v>232</v>
      </c>
      <c r="B8" s="20" t="n">
        <v>15000</v>
      </c>
      <c r="C8" s="49" t="n">
        <f aca="false">B8/B12</f>
        <v>0.06</v>
      </c>
      <c r="D8" s="3" t="s">
        <v>233</v>
      </c>
    </row>
    <row r="9" customFormat="false" ht="15" hidden="false" customHeight="false" outlineLevel="0" collapsed="false">
      <c r="A9" s="7" t="s">
        <v>234</v>
      </c>
      <c r="B9" s="20" t="n">
        <v>42000</v>
      </c>
      <c r="C9" s="49" t="n">
        <f aca="false">B9/B12</f>
        <v>0.168</v>
      </c>
      <c r="D9" s="3" t="s">
        <v>235</v>
      </c>
    </row>
    <row r="10" customFormat="false" ht="15" hidden="false" customHeight="false" outlineLevel="0" collapsed="false">
      <c r="A10" s="7" t="s">
        <v>236</v>
      </c>
      <c r="B10" s="20" t="n">
        <v>12000</v>
      </c>
      <c r="C10" s="49" t="n">
        <f aca="false">B10/B12</f>
        <v>0.048</v>
      </c>
      <c r="D10" s="3" t="s">
        <v>237</v>
      </c>
    </row>
    <row r="11" customFormat="false" ht="15" hidden="false" customHeight="false" outlineLevel="0" collapsed="false">
      <c r="A11" s="7" t="s">
        <v>238</v>
      </c>
      <c r="B11" s="20" t="n">
        <v>18500</v>
      </c>
      <c r="C11" s="49" t="n">
        <f aca="false">B11/B12</f>
        <v>0.074</v>
      </c>
      <c r="D11" s="3" t="s">
        <v>239</v>
      </c>
    </row>
    <row r="12" customFormat="false" ht="15" hidden="false" customHeight="false" outlineLevel="0" collapsed="false">
      <c r="A12" s="27" t="s">
        <v>240</v>
      </c>
      <c r="B12" s="28" t="n">
        <f aca="false">SUM(B5:B11)</f>
        <v>250000</v>
      </c>
      <c r="C12" s="64" t="n">
        <v>1</v>
      </c>
      <c r="D12" s="65"/>
    </row>
    <row r="14" customFormat="false" ht="15" hidden="false" customHeight="false" outlineLevel="0" collapsed="false">
      <c r="A14" s="4" t="s">
        <v>241</v>
      </c>
      <c r="B14" s="5"/>
      <c r="C14" s="5"/>
      <c r="D14" s="5"/>
    </row>
    <row r="15" customFormat="false" ht="15" hidden="false" customHeight="false" outlineLevel="0" collapsed="false">
      <c r="A15" s="7" t="s">
        <v>242</v>
      </c>
      <c r="B15" s="51" t="n">
        <f aca="false">Assumptions!B85</f>
        <v>13750</v>
      </c>
    </row>
    <row r="16" customFormat="false" ht="15" hidden="false" customHeight="false" outlineLevel="0" collapsed="false">
      <c r="A16" s="16" t="s">
        <v>243</v>
      </c>
      <c r="B16" s="66" t="n">
        <f aca="false">B12/B15</f>
        <v>18.1818181818182</v>
      </c>
    </row>
    <row r="17" customFormat="false" ht="15" hidden="false" customHeight="false" outlineLevel="0" collapsed="false">
      <c r="A17" s="7" t="s">
        <v>244</v>
      </c>
      <c r="B17" s="67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25"/>
  </cols>
  <sheetData>
    <row r="1" customFormat="false" ht="17.35" hidden="false" customHeight="false" outlineLevel="0" collapsed="false">
      <c r="A1" s="1" t="s">
        <v>245</v>
      </c>
    </row>
    <row r="3" customFormat="false" ht="15" hidden="false" customHeight="false" outlineLevel="0" collapsed="false">
      <c r="A3" s="4" t="s">
        <v>246</v>
      </c>
    </row>
    <row r="4" customFormat="false" ht="15" hidden="false" customHeight="false" outlineLevel="0" collapsed="false">
      <c r="A4" s="16" t="s">
        <v>247</v>
      </c>
      <c r="B4" s="16" t="s">
        <v>248</v>
      </c>
      <c r="C4" s="16" t="s">
        <v>9</v>
      </c>
    </row>
    <row r="5" customFormat="false" ht="15" hidden="false" customHeight="false" outlineLevel="0" collapsed="false">
      <c r="A5" s="7" t="s">
        <v>249</v>
      </c>
      <c r="B5" s="36" t="n">
        <v>160800</v>
      </c>
      <c r="C5" s="3" t="s">
        <v>250</v>
      </c>
    </row>
    <row r="6" customFormat="false" ht="15" hidden="false" customHeight="false" outlineLevel="0" collapsed="false">
      <c r="A6" s="7" t="s">
        <v>251</v>
      </c>
      <c r="B6" s="36" t="n">
        <v>3700</v>
      </c>
      <c r="C6" s="3" t="s">
        <v>252</v>
      </c>
    </row>
    <row r="7" customFormat="false" ht="15" hidden="false" customHeight="false" outlineLevel="0" collapsed="false">
      <c r="A7" s="7" t="s">
        <v>253</v>
      </c>
      <c r="B7" s="36" t="n">
        <v>850</v>
      </c>
      <c r="C7" s="3" t="s">
        <v>254</v>
      </c>
    </row>
    <row r="8" customFormat="false" ht="15" hidden="false" customHeight="false" outlineLevel="0" collapsed="false">
      <c r="A8" s="7" t="s">
        <v>255</v>
      </c>
      <c r="B8" s="36" t="n">
        <v>176000</v>
      </c>
      <c r="C8" s="3" t="s">
        <v>256</v>
      </c>
    </row>
    <row r="9" customFormat="false" ht="15" hidden="false" customHeight="false" outlineLevel="0" collapsed="false">
      <c r="A9" s="7" t="s">
        <v>257</v>
      </c>
      <c r="B9" s="36" t="n">
        <v>95000</v>
      </c>
      <c r="C9" s="3" t="s">
        <v>258</v>
      </c>
    </row>
    <row r="10" customFormat="false" ht="15" hidden="false" customHeight="false" outlineLevel="0" collapsed="false">
      <c r="A10" s="7" t="s">
        <v>259</v>
      </c>
      <c r="B10" s="36" t="n">
        <v>15781</v>
      </c>
      <c r="C10" s="3" t="s">
        <v>260</v>
      </c>
    </row>
    <row r="11" customFormat="false" ht="15" hidden="false" customHeight="false" outlineLevel="0" collapsed="false">
      <c r="A11" s="7" t="s">
        <v>261</v>
      </c>
      <c r="B11" s="36" t="n">
        <v>3400</v>
      </c>
      <c r="C11" s="3" t="s">
        <v>262</v>
      </c>
    </row>
    <row r="12" customFormat="false" ht="15" hidden="false" customHeight="false" outlineLevel="0" collapsed="false">
      <c r="A12" s="7" t="s">
        <v>263</v>
      </c>
      <c r="B12" s="36" t="n">
        <v>9205</v>
      </c>
      <c r="C12" s="3" t="s">
        <v>264</v>
      </c>
    </row>
    <row r="13" customFormat="false" ht="15" hidden="false" customHeight="false" outlineLevel="0" collapsed="false">
      <c r="A13" s="7" t="s">
        <v>265</v>
      </c>
      <c r="B13" s="36" t="n">
        <v>5000</v>
      </c>
      <c r="C13" s="3" t="s">
        <v>266</v>
      </c>
    </row>
    <row r="14" customFormat="false" ht="15" hidden="false" customHeight="false" outlineLevel="0" collapsed="false">
      <c r="A14" s="7" t="s">
        <v>267</v>
      </c>
      <c r="B14" s="36" t="n">
        <v>6500</v>
      </c>
      <c r="C14" s="3" t="s">
        <v>268</v>
      </c>
    </row>
    <row r="15" customFormat="false" ht="15" hidden="false" customHeight="false" outlineLevel="0" collapsed="false">
      <c r="A15" s="16" t="s">
        <v>269</v>
      </c>
      <c r="B15" s="35" t="n">
        <f aca="false">SUM(B5:B14)</f>
        <v>476236</v>
      </c>
    </row>
    <row r="16" customFormat="false" ht="15" hidden="false" customHeight="false" outlineLevel="0" collapsed="false">
      <c r="A16" s="16" t="s">
        <v>270</v>
      </c>
      <c r="B16" s="60" t="n">
        <v>40000</v>
      </c>
    </row>
    <row r="18" customFormat="false" ht="15" hidden="false" customHeight="false" outlineLevel="0" collapsed="false">
      <c r="A18" s="4" t="s">
        <v>271</v>
      </c>
    </row>
    <row r="19" customFormat="false" ht="15" hidden="false" customHeight="false" outlineLevel="0" collapsed="false">
      <c r="A19" s="7" t="s">
        <v>272</v>
      </c>
      <c r="B19" s="7" t="n">
        <v>96</v>
      </c>
    </row>
    <row r="20" customFormat="false" ht="15" hidden="false" customHeight="false" outlineLevel="0" collapsed="false">
      <c r="A20" s="16" t="s">
        <v>273</v>
      </c>
      <c r="B20" s="68" t="n">
        <f aca="false">B19/B16</f>
        <v>0.0024</v>
      </c>
    </row>
    <row r="21" customFormat="false" ht="15" hidden="false" customHeight="false" outlineLevel="0" collapsed="false">
      <c r="A21" s="7" t="s">
        <v>274</v>
      </c>
      <c r="B21" s="7" t="n">
        <v>144</v>
      </c>
    </row>
    <row r="22" customFormat="false" ht="15" hidden="false" customHeight="false" outlineLevel="0" collapsed="false">
      <c r="A22" s="16" t="s">
        <v>273</v>
      </c>
      <c r="B22" s="68" t="n">
        <f aca="false">B21/B16</f>
        <v>0.0036</v>
      </c>
    </row>
    <row r="24" customFormat="false" ht="15" hidden="false" customHeight="false" outlineLevel="0" collapsed="false">
      <c r="A24" s="4" t="s">
        <v>275</v>
      </c>
    </row>
    <row r="25" customFormat="false" ht="15" hidden="false" customHeight="false" outlineLevel="0" collapsed="false">
      <c r="A25" s="16" t="s">
        <v>276</v>
      </c>
      <c r="B25" s="7" t="s">
        <v>277</v>
      </c>
    </row>
    <row r="26" customFormat="false" ht="15" hidden="false" customHeight="false" outlineLevel="0" collapsed="false">
      <c r="A26" s="16" t="s">
        <v>278</v>
      </c>
      <c r="B26" s="7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2026-02-10T13:24:28Z</dcterms:created>
  <dc:creator>openpyxl</dc:creator>
  <dc:description/>
  <dc:language>en-US</dc:language>
  <cp:lastModifiedBy/>
  <dcterms:modified xsi:type="dcterms:W3CDTF">2026-02-10T13:24:28Z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